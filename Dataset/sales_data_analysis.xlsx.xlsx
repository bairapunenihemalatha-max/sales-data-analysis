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4d56e078553dc9/文件/"/>
    </mc:Choice>
  </mc:AlternateContent>
  <xr:revisionPtr revIDLastSave="202" documentId="8_{C7B51AD3-81FD-4FB4-839E-7E90A9612A0E}" xr6:coauthVersionLast="47" xr6:coauthVersionMax="47" xr10:uidLastSave="{097E0827-8822-44D2-A113-0EEE4D9BC9A6}"/>
  <bookViews>
    <workbookView xWindow="-120" yWindow="-120" windowWidth="20730" windowHeight="11040" xr2:uid="{BB6CE083-0406-47D1-9A70-59B902B8FA1B}"/>
  </bookViews>
  <sheets>
    <sheet name="sales_data" sheetId="2" r:id="rId1"/>
    <sheet name="KPI_Summary" sheetId="1" r:id="rId2"/>
    <sheet name="pivot tables" sheetId="4" r:id="rId3"/>
    <sheet name="Charts" sheetId="3" r:id="rId4"/>
    <sheet name="Dashboard" sheetId="7" r:id="rId5"/>
  </sheets>
  <definedNames>
    <definedName name="ExternalData_1" localSheetId="0" hidden="1">sales_data!$A$1:$M$501</definedName>
  </definedNames>
  <calcPr calcId="191029"/>
  <pivotCaches>
    <pivotCache cacheId="1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" i="7" l="1"/>
  <c r="G4" i="7"/>
  <c r="E4" i="7"/>
  <c r="C4" i="7"/>
  <c r="A4" i="7"/>
  <c r="B6" i="1"/>
  <c r="B5" i="1"/>
  <c r="B4" i="1"/>
  <c r="B3" i="1"/>
  <c r="B2" i="1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N2" i="2"/>
  <c r="O2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N3" i="2"/>
  <c r="O3" i="2" s="1"/>
  <c r="N4" i="2"/>
  <c r="O4" i="2" s="1"/>
  <c r="N5" i="2"/>
  <c r="O5" i="2" s="1"/>
  <c r="N6" i="2"/>
  <c r="O6" i="2" s="1"/>
  <c r="N7" i="2"/>
  <c r="O7" i="2" s="1"/>
  <c r="N8" i="2"/>
  <c r="O8" i="2" s="1"/>
  <c r="N9" i="2"/>
  <c r="O9" i="2" s="1"/>
  <c r="N10" i="2"/>
  <c r="O10" i="2" s="1"/>
  <c r="N11" i="2"/>
  <c r="O11" i="2" s="1"/>
  <c r="N12" i="2"/>
  <c r="O12" i="2" s="1"/>
  <c r="N13" i="2"/>
  <c r="O13" i="2" s="1"/>
  <c r="N14" i="2"/>
  <c r="O14" i="2" s="1"/>
  <c r="N15" i="2"/>
  <c r="O15" i="2" s="1"/>
  <c r="N16" i="2"/>
  <c r="O16" i="2" s="1"/>
  <c r="N17" i="2"/>
  <c r="O17" i="2" s="1"/>
  <c r="N18" i="2"/>
  <c r="O18" i="2" s="1"/>
  <c r="N19" i="2"/>
  <c r="O19" i="2" s="1"/>
  <c r="N20" i="2"/>
  <c r="O20" i="2" s="1"/>
  <c r="N21" i="2"/>
  <c r="O21" i="2" s="1"/>
  <c r="N22" i="2"/>
  <c r="O22" i="2" s="1"/>
  <c r="N23" i="2"/>
  <c r="O23" i="2" s="1"/>
  <c r="N24" i="2"/>
  <c r="O24" i="2" s="1"/>
  <c r="N25" i="2"/>
  <c r="O25" i="2" s="1"/>
  <c r="N26" i="2"/>
  <c r="O26" i="2" s="1"/>
  <c r="N27" i="2"/>
  <c r="O27" i="2" s="1"/>
  <c r="N28" i="2"/>
  <c r="O28" i="2" s="1"/>
  <c r="N29" i="2"/>
  <c r="O29" i="2" s="1"/>
  <c r="N30" i="2"/>
  <c r="O30" i="2" s="1"/>
  <c r="N31" i="2"/>
  <c r="O31" i="2" s="1"/>
  <c r="N32" i="2"/>
  <c r="O32" i="2" s="1"/>
  <c r="N33" i="2"/>
  <c r="O33" i="2" s="1"/>
  <c r="N34" i="2"/>
  <c r="O34" i="2" s="1"/>
  <c r="N35" i="2"/>
  <c r="O35" i="2" s="1"/>
  <c r="N36" i="2"/>
  <c r="O36" i="2" s="1"/>
  <c r="N37" i="2"/>
  <c r="O37" i="2" s="1"/>
  <c r="N38" i="2"/>
  <c r="O38" i="2" s="1"/>
  <c r="N39" i="2"/>
  <c r="O39" i="2" s="1"/>
  <c r="N40" i="2"/>
  <c r="O40" i="2" s="1"/>
  <c r="N41" i="2"/>
  <c r="O41" i="2" s="1"/>
  <c r="N42" i="2"/>
  <c r="O42" i="2" s="1"/>
  <c r="N43" i="2"/>
  <c r="O43" i="2" s="1"/>
  <c r="N44" i="2"/>
  <c r="O44" i="2" s="1"/>
  <c r="N45" i="2"/>
  <c r="O45" i="2" s="1"/>
  <c r="N46" i="2"/>
  <c r="O46" i="2" s="1"/>
  <c r="N47" i="2"/>
  <c r="O47" i="2" s="1"/>
  <c r="N48" i="2"/>
  <c r="O48" i="2" s="1"/>
  <c r="N49" i="2"/>
  <c r="O49" i="2" s="1"/>
  <c r="N50" i="2"/>
  <c r="O50" i="2" s="1"/>
  <c r="N51" i="2"/>
  <c r="O51" i="2" s="1"/>
  <c r="N52" i="2"/>
  <c r="O52" i="2" s="1"/>
  <c r="N53" i="2"/>
  <c r="O53" i="2" s="1"/>
  <c r="N54" i="2"/>
  <c r="O54" i="2" s="1"/>
  <c r="N55" i="2"/>
  <c r="O55" i="2" s="1"/>
  <c r="N56" i="2"/>
  <c r="O56" i="2" s="1"/>
  <c r="N57" i="2"/>
  <c r="O57" i="2" s="1"/>
  <c r="N58" i="2"/>
  <c r="O58" i="2" s="1"/>
  <c r="N59" i="2"/>
  <c r="O59" i="2" s="1"/>
  <c r="N60" i="2"/>
  <c r="O60" i="2" s="1"/>
  <c r="N61" i="2"/>
  <c r="O61" i="2" s="1"/>
  <c r="N62" i="2"/>
  <c r="O62" i="2" s="1"/>
  <c r="N63" i="2"/>
  <c r="O63" i="2" s="1"/>
  <c r="N64" i="2"/>
  <c r="O64" i="2" s="1"/>
  <c r="N65" i="2"/>
  <c r="O65" i="2" s="1"/>
  <c r="N66" i="2"/>
  <c r="O66" i="2" s="1"/>
  <c r="N67" i="2"/>
  <c r="O67" i="2" s="1"/>
  <c r="N68" i="2"/>
  <c r="O68" i="2" s="1"/>
  <c r="N69" i="2"/>
  <c r="O69" i="2" s="1"/>
  <c r="N70" i="2"/>
  <c r="O70" i="2" s="1"/>
  <c r="N71" i="2"/>
  <c r="O71" i="2" s="1"/>
  <c r="N72" i="2"/>
  <c r="O72" i="2" s="1"/>
  <c r="N73" i="2"/>
  <c r="O73" i="2" s="1"/>
  <c r="N74" i="2"/>
  <c r="O74" i="2" s="1"/>
  <c r="N75" i="2"/>
  <c r="O75" i="2" s="1"/>
  <c r="N76" i="2"/>
  <c r="O76" i="2" s="1"/>
  <c r="N77" i="2"/>
  <c r="O77" i="2" s="1"/>
  <c r="N78" i="2"/>
  <c r="O78" i="2" s="1"/>
  <c r="N79" i="2"/>
  <c r="O79" i="2" s="1"/>
  <c r="N80" i="2"/>
  <c r="O80" i="2" s="1"/>
  <c r="N81" i="2"/>
  <c r="O81" i="2" s="1"/>
  <c r="N82" i="2"/>
  <c r="O82" i="2" s="1"/>
  <c r="N83" i="2"/>
  <c r="O83" i="2" s="1"/>
  <c r="N84" i="2"/>
  <c r="O84" i="2" s="1"/>
  <c r="N85" i="2"/>
  <c r="O85" i="2" s="1"/>
  <c r="N86" i="2"/>
  <c r="O86" i="2" s="1"/>
  <c r="N87" i="2"/>
  <c r="O87" i="2" s="1"/>
  <c r="N88" i="2"/>
  <c r="O88" i="2" s="1"/>
  <c r="N89" i="2"/>
  <c r="O89" i="2" s="1"/>
  <c r="N90" i="2"/>
  <c r="O90" i="2" s="1"/>
  <c r="N91" i="2"/>
  <c r="O91" i="2" s="1"/>
  <c r="N92" i="2"/>
  <c r="O92" i="2" s="1"/>
  <c r="N93" i="2"/>
  <c r="O93" i="2" s="1"/>
  <c r="N94" i="2"/>
  <c r="O94" i="2" s="1"/>
  <c r="N95" i="2"/>
  <c r="O95" i="2" s="1"/>
  <c r="N96" i="2"/>
  <c r="O96" i="2" s="1"/>
  <c r="N97" i="2"/>
  <c r="O97" i="2" s="1"/>
  <c r="N98" i="2"/>
  <c r="O98" i="2" s="1"/>
  <c r="N99" i="2"/>
  <c r="O99" i="2" s="1"/>
  <c r="N100" i="2"/>
  <c r="O100" i="2" s="1"/>
  <c r="N101" i="2"/>
  <c r="O101" i="2" s="1"/>
  <c r="N102" i="2"/>
  <c r="O102" i="2" s="1"/>
  <c r="N103" i="2"/>
  <c r="O103" i="2" s="1"/>
  <c r="N104" i="2"/>
  <c r="O104" i="2" s="1"/>
  <c r="N105" i="2"/>
  <c r="O105" i="2" s="1"/>
  <c r="N106" i="2"/>
  <c r="O106" i="2" s="1"/>
  <c r="N107" i="2"/>
  <c r="O107" i="2" s="1"/>
  <c r="N108" i="2"/>
  <c r="O108" i="2" s="1"/>
  <c r="N109" i="2"/>
  <c r="O109" i="2" s="1"/>
  <c r="N110" i="2"/>
  <c r="O110" i="2" s="1"/>
  <c r="N111" i="2"/>
  <c r="O111" i="2" s="1"/>
  <c r="N112" i="2"/>
  <c r="O112" i="2" s="1"/>
  <c r="N113" i="2"/>
  <c r="O113" i="2" s="1"/>
  <c r="N114" i="2"/>
  <c r="O114" i="2" s="1"/>
  <c r="N115" i="2"/>
  <c r="O115" i="2" s="1"/>
  <c r="N116" i="2"/>
  <c r="O116" i="2" s="1"/>
  <c r="N117" i="2"/>
  <c r="O117" i="2" s="1"/>
  <c r="N118" i="2"/>
  <c r="O118" i="2" s="1"/>
  <c r="N119" i="2"/>
  <c r="O119" i="2" s="1"/>
  <c r="N120" i="2"/>
  <c r="O120" i="2" s="1"/>
  <c r="N121" i="2"/>
  <c r="O121" i="2" s="1"/>
  <c r="N122" i="2"/>
  <c r="O122" i="2" s="1"/>
  <c r="N123" i="2"/>
  <c r="O123" i="2" s="1"/>
  <c r="N124" i="2"/>
  <c r="O124" i="2" s="1"/>
  <c r="N125" i="2"/>
  <c r="O125" i="2" s="1"/>
  <c r="N126" i="2"/>
  <c r="O126" i="2" s="1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O251" i="2" s="1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O376" i="2" s="1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O50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F3FC4B-4923-46F4-B8EB-3196E4E58C94}" keepAlive="1" name="Query - sales_data_analysis_dataset" description="Connection to the 'sales_data_analysis_dataset' query in the workbook." type="5" refreshedVersion="8" background="1" saveData="1">
    <dbPr connection="Provider=Microsoft.Mashup.OleDb.1;Data Source=$Workbook$;Location=sales_data_analysis_dataset;Extended Properties=&quot;&quot;" command="SELECT * FROM [sales_data_analysis_dataset]"/>
  </connection>
</connections>
</file>

<file path=xl/sharedStrings.xml><?xml version="1.0" encoding="utf-8"?>
<sst xmlns="http://schemas.openxmlformats.org/spreadsheetml/2006/main" count="4060" uniqueCount="918">
  <si>
    <t>Order_ID</t>
  </si>
  <si>
    <t>Order_Date</t>
  </si>
  <si>
    <t>Customer_ID</t>
  </si>
  <si>
    <t>Customer_Name</t>
  </si>
  <si>
    <t>City</t>
  </si>
  <si>
    <t>Region</t>
  </si>
  <si>
    <t>Category</t>
  </si>
  <si>
    <t>Product</t>
  </si>
  <si>
    <t>Quantity</t>
  </si>
  <si>
    <t>Unit_Price</t>
  </si>
  <si>
    <t>Discount_Percent</t>
  </si>
  <si>
    <t>Unit_Cost</t>
  </si>
  <si>
    <t>Segment</t>
  </si>
  <si>
    <t>SO0001</t>
  </si>
  <si>
    <t>C0139</t>
  </si>
  <si>
    <t>Customer 170</t>
  </si>
  <si>
    <t>Delhi</t>
  </si>
  <si>
    <t>North</t>
  </si>
  <si>
    <t>Home &amp; Kitchen</t>
  </si>
  <si>
    <t>Bedsheet</t>
  </si>
  <si>
    <t>Consumer</t>
  </si>
  <si>
    <t>SO0002</t>
  </si>
  <si>
    <t>C0082</t>
  </si>
  <si>
    <t>Customer 164</t>
  </si>
  <si>
    <t>Kolkata</t>
  </si>
  <si>
    <t>South</t>
  </si>
  <si>
    <t>Furniture</t>
  </si>
  <si>
    <t>Sofa</t>
  </si>
  <si>
    <t>Home Office</t>
  </si>
  <si>
    <t>SO0003</t>
  </si>
  <si>
    <t>C0137</t>
  </si>
  <si>
    <t>Customer 144</t>
  </si>
  <si>
    <t>Mumbai</t>
  </si>
  <si>
    <t>East</t>
  </si>
  <si>
    <t>Electronics</t>
  </si>
  <si>
    <t>Smartphone</t>
  </si>
  <si>
    <t>SO0004</t>
  </si>
  <si>
    <t>C0130</t>
  </si>
  <si>
    <t>Customer 122</t>
  </si>
  <si>
    <t>Chennai</t>
  </si>
  <si>
    <t>West</t>
  </si>
  <si>
    <t>Laptop</t>
  </si>
  <si>
    <t>SO0005</t>
  </si>
  <si>
    <t>C0014</t>
  </si>
  <si>
    <t>Customer 091</t>
  </si>
  <si>
    <t>Hyderabad</t>
  </si>
  <si>
    <t>Clothing</t>
  </si>
  <si>
    <t>T-Shirt</t>
  </si>
  <si>
    <t>Corporate</t>
  </si>
  <si>
    <t>SO0006</t>
  </si>
  <si>
    <t>C0055</t>
  </si>
  <si>
    <t>Customer 064</t>
  </si>
  <si>
    <t>Pune</t>
  </si>
  <si>
    <t>Keyboard</t>
  </si>
  <si>
    <t>SO0007</t>
  </si>
  <si>
    <t>Customer 142</t>
  </si>
  <si>
    <t>Headphones</t>
  </si>
  <si>
    <t>SO0008</t>
  </si>
  <si>
    <t>C0025</t>
  </si>
  <si>
    <t>Customer 148</t>
  </si>
  <si>
    <t>Sneakers</t>
  </si>
  <si>
    <t>SO0009</t>
  </si>
  <si>
    <t>C0122</t>
  </si>
  <si>
    <t>Customer 163</t>
  </si>
  <si>
    <t>SO0010</t>
  </si>
  <si>
    <t>C0145</t>
  </si>
  <si>
    <t>Customer 135</t>
  </si>
  <si>
    <t>SO0011</t>
  </si>
  <si>
    <t>C0174</t>
  </si>
  <si>
    <t>Customer 029</t>
  </si>
  <si>
    <t>Cookware Set</t>
  </si>
  <si>
    <t>SO0012</t>
  </si>
  <si>
    <t>C0108</t>
  </si>
  <si>
    <t>Customer 024</t>
  </si>
  <si>
    <t>SO0013</t>
  </si>
  <si>
    <t>C0140</t>
  </si>
  <si>
    <t>Table Lamp</t>
  </si>
  <si>
    <t>SO0014</t>
  </si>
  <si>
    <t>C0125</t>
  </si>
  <si>
    <t>Customer 151</t>
  </si>
  <si>
    <t>Handbag</t>
  </si>
  <si>
    <t>SO0015</t>
  </si>
  <si>
    <t>C0056</t>
  </si>
  <si>
    <t>Customer 059</t>
  </si>
  <si>
    <t>Jaipur</t>
  </si>
  <si>
    <t>Water Bottle</t>
  </si>
  <si>
    <t>SO0016</t>
  </si>
  <si>
    <t>C0133</t>
  </si>
  <si>
    <t>Customer 109</t>
  </si>
  <si>
    <t>SO0017</t>
  </si>
  <si>
    <t>C0095</t>
  </si>
  <si>
    <t>Customer 045</t>
  </si>
  <si>
    <t>Dining Table</t>
  </si>
  <si>
    <t>SO0018</t>
  </si>
  <si>
    <t>C0028</t>
  </si>
  <si>
    <t>Customer 134</t>
  </si>
  <si>
    <t>Jacket</t>
  </si>
  <si>
    <t>SO0019</t>
  </si>
  <si>
    <t>C0036</t>
  </si>
  <si>
    <t>Customer 138</t>
  </si>
  <si>
    <t>SO0020</t>
  </si>
  <si>
    <t>C0087</t>
  </si>
  <si>
    <t>Customer 085</t>
  </si>
  <si>
    <t>SO0021</t>
  </si>
  <si>
    <t>C0121</t>
  </si>
  <si>
    <t>Customer 078</t>
  </si>
  <si>
    <t>Wireless Mouse</t>
  </si>
  <si>
    <t>SO0022</t>
  </si>
  <si>
    <t>C0032</t>
  </si>
  <si>
    <t>Customer 110</t>
  </si>
  <si>
    <t>SO0023</t>
  </si>
  <si>
    <t>C0149</t>
  </si>
  <si>
    <t>Customer 107</t>
  </si>
  <si>
    <t>SO0024</t>
  </si>
  <si>
    <t>C0083</t>
  </si>
  <si>
    <t>Customer 031</t>
  </si>
  <si>
    <t>SO0025</t>
  </si>
  <si>
    <t>C0066</t>
  </si>
  <si>
    <t>Bengaluru</t>
  </si>
  <si>
    <t>SO0026</t>
  </si>
  <si>
    <t>Customer 147</t>
  </si>
  <si>
    <t>SO0027</t>
  </si>
  <si>
    <t>C0155</t>
  </si>
  <si>
    <t>Customer 040</t>
  </si>
  <si>
    <t>SO0028</t>
  </si>
  <si>
    <t>C0158</t>
  </si>
  <si>
    <t>Customer 061</t>
  </si>
  <si>
    <t>SO0029</t>
  </si>
  <si>
    <t>C0129</t>
  </si>
  <si>
    <t>Customer 033</t>
  </si>
  <si>
    <t>SO0030</t>
  </si>
  <si>
    <t>C0163</t>
  </si>
  <si>
    <t>Customer 032</t>
  </si>
  <si>
    <t>SO0031</t>
  </si>
  <si>
    <t>C0044</t>
  </si>
  <si>
    <t>Customer 019</t>
  </si>
  <si>
    <t>Mixer Grinder</t>
  </si>
  <si>
    <t>SO0032</t>
  </si>
  <si>
    <t>C0069</t>
  </si>
  <si>
    <t>Customer 079</t>
  </si>
  <si>
    <t>SO0033</t>
  </si>
  <si>
    <t>Customer 055</t>
  </si>
  <si>
    <t>SO0034</t>
  </si>
  <si>
    <t>C0053</t>
  </si>
  <si>
    <t>Customer 081</t>
  </si>
  <si>
    <t>SO0035</t>
  </si>
  <si>
    <t>C0157</t>
  </si>
  <si>
    <t>Customer 067</t>
  </si>
  <si>
    <t>SO0036</t>
  </si>
  <si>
    <t>C0051</t>
  </si>
  <si>
    <t>SO0037</t>
  </si>
  <si>
    <t>C0124</t>
  </si>
  <si>
    <t>Customer 114</t>
  </si>
  <si>
    <t>Bookshelf</t>
  </si>
  <si>
    <t>SO0038</t>
  </si>
  <si>
    <t>Customer 086</t>
  </si>
  <si>
    <t>SO0039</t>
  </si>
  <si>
    <t>C0026</t>
  </si>
  <si>
    <t>Customer 105</t>
  </si>
  <si>
    <t>Study Table</t>
  </si>
  <si>
    <t>SO0040</t>
  </si>
  <si>
    <t>Customer 041</t>
  </si>
  <si>
    <t>SO0041</t>
  </si>
  <si>
    <t>C0076</t>
  </si>
  <si>
    <t>Customer 157</t>
  </si>
  <si>
    <t>SO0042</t>
  </si>
  <si>
    <t>C0166</t>
  </si>
  <si>
    <t>Customer 008</t>
  </si>
  <si>
    <t>SO0043</t>
  </si>
  <si>
    <t>SO0044</t>
  </si>
  <si>
    <t>C0094</t>
  </si>
  <si>
    <t>Customer 057</t>
  </si>
  <si>
    <t>SO0045</t>
  </si>
  <si>
    <t>C0021</t>
  </si>
  <si>
    <t>Customer 011</t>
  </si>
  <si>
    <t>SO0046</t>
  </si>
  <si>
    <t>C0013</t>
  </si>
  <si>
    <t>Customer 174</t>
  </si>
  <si>
    <t>SO0047</t>
  </si>
  <si>
    <t>C0080</t>
  </si>
  <si>
    <t>Customer 165</t>
  </si>
  <si>
    <t>SO0048</t>
  </si>
  <si>
    <t>C0099</t>
  </si>
  <si>
    <t>Customer 001</t>
  </si>
  <si>
    <t>SO0049</t>
  </si>
  <si>
    <t>Customer 166</t>
  </si>
  <si>
    <t>SO0050</t>
  </si>
  <si>
    <t>Customer 175</t>
  </si>
  <si>
    <t>SO0051</t>
  </si>
  <si>
    <t>C0098</t>
  </si>
  <si>
    <t>Customer 015</t>
  </si>
  <si>
    <t>SO0052</t>
  </si>
  <si>
    <t>C0104</t>
  </si>
  <si>
    <t>Customer 155</t>
  </si>
  <si>
    <t>SO0053</t>
  </si>
  <si>
    <t>C0159</t>
  </si>
  <si>
    <t>Customer 026</t>
  </si>
  <si>
    <t>SO0054</t>
  </si>
  <si>
    <t>Customer 051</t>
  </si>
  <si>
    <t>SO0055</t>
  </si>
  <si>
    <t>Customer 012</t>
  </si>
  <si>
    <t>SO0056</t>
  </si>
  <si>
    <t>C0150</t>
  </si>
  <si>
    <t>Customer 156</t>
  </si>
  <si>
    <t>SO0057</t>
  </si>
  <si>
    <t>Customer 117</t>
  </si>
  <si>
    <t>SO0058</t>
  </si>
  <si>
    <t>C0169</t>
  </si>
  <si>
    <t>Customer 180</t>
  </si>
  <si>
    <t>SO0059</t>
  </si>
  <si>
    <t>C0120</t>
  </si>
  <si>
    <t>Customer 084</t>
  </si>
  <si>
    <t>SO0060</t>
  </si>
  <si>
    <t>C0023</t>
  </si>
  <si>
    <t>SO0061</t>
  </si>
  <si>
    <t>Customer 066</t>
  </si>
  <si>
    <t>SO0062</t>
  </si>
  <si>
    <t>C0132</t>
  </si>
  <si>
    <t>SO0063</t>
  </si>
  <si>
    <t>C0084</t>
  </si>
  <si>
    <t>SO0064</t>
  </si>
  <si>
    <t>C0107</t>
  </si>
  <si>
    <t>SO0065</t>
  </si>
  <si>
    <t>Customer 098</t>
  </si>
  <si>
    <t>SO0066</t>
  </si>
  <si>
    <t>C0126</t>
  </si>
  <si>
    <t>Customer 060</t>
  </si>
  <si>
    <t>SO0067</t>
  </si>
  <si>
    <t>C0110</t>
  </si>
  <si>
    <t>Customer 080</t>
  </si>
  <si>
    <t>SO0068</t>
  </si>
  <si>
    <t>C0010</t>
  </si>
  <si>
    <t>Customer 002</t>
  </si>
  <si>
    <t>SO0069</t>
  </si>
  <si>
    <t>Customer 095</t>
  </si>
  <si>
    <t>SO0070</t>
  </si>
  <si>
    <t>SO0071</t>
  </si>
  <si>
    <t>C0019</t>
  </si>
  <si>
    <t>Customer 106</t>
  </si>
  <si>
    <t>SO0072</t>
  </si>
  <si>
    <t>C0037</t>
  </si>
  <si>
    <t>Customer 169</t>
  </si>
  <si>
    <t>SO0073</t>
  </si>
  <si>
    <t>Customer 003</t>
  </si>
  <si>
    <t>SO0074</t>
  </si>
  <si>
    <t>C0073</t>
  </si>
  <si>
    <t>SO0075</t>
  </si>
  <si>
    <t>C0007</t>
  </si>
  <si>
    <t>Customer 128</t>
  </si>
  <si>
    <t>SO0076</t>
  </si>
  <si>
    <t>C0165</t>
  </si>
  <si>
    <t>Customer 068</t>
  </si>
  <si>
    <t>SO0077</t>
  </si>
  <si>
    <t>C0180</t>
  </si>
  <si>
    <t>Customer 150</t>
  </si>
  <si>
    <t>SO0078</t>
  </si>
  <si>
    <t>C0153</t>
  </si>
  <si>
    <t>SO0079</t>
  </si>
  <si>
    <t>SO0080</t>
  </si>
  <si>
    <t>Customer 149</t>
  </si>
  <si>
    <t>SO0081</t>
  </si>
  <si>
    <t>C0167</t>
  </si>
  <si>
    <t>SO0082</t>
  </si>
  <si>
    <t>C0134</t>
  </si>
  <si>
    <t>Customer 074</t>
  </si>
  <si>
    <t>SO0083</t>
  </si>
  <si>
    <t>C0175</t>
  </si>
  <si>
    <t>Customer 043</t>
  </si>
  <si>
    <t>SO0084</t>
  </si>
  <si>
    <t>C0117</t>
  </si>
  <si>
    <t>SO0085</t>
  </si>
  <si>
    <t>SO0086</t>
  </si>
  <si>
    <t>C0035</t>
  </si>
  <si>
    <t>Customer 093</t>
  </si>
  <si>
    <t>SO0087</t>
  </si>
  <si>
    <t>SO0088</t>
  </si>
  <si>
    <t>C0050</t>
  </si>
  <si>
    <t>SO0089</t>
  </si>
  <si>
    <t>C0092</t>
  </si>
  <si>
    <t>SO0090</t>
  </si>
  <si>
    <t>C0042</t>
  </si>
  <si>
    <t>Customer 056</t>
  </si>
  <si>
    <t>SO0091</t>
  </si>
  <si>
    <t>C0142</t>
  </si>
  <si>
    <t>Customer 124</t>
  </si>
  <si>
    <t>SO0092</t>
  </si>
  <si>
    <t>C0109</t>
  </si>
  <si>
    <t>SO0093</t>
  </si>
  <si>
    <t>C0089</t>
  </si>
  <si>
    <t>SO0094</t>
  </si>
  <si>
    <t>Customer 083</t>
  </si>
  <si>
    <t>SO0095</t>
  </si>
  <si>
    <t>Customer 016</t>
  </si>
  <si>
    <t>SO0096</t>
  </si>
  <si>
    <t>C0091</t>
  </si>
  <si>
    <t>Customer 072</t>
  </si>
  <si>
    <t>SO0097</t>
  </si>
  <si>
    <t>Customer 058</t>
  </si>
  <si>
    <t>SO0098</t>
  </si>
  <si>
    <t>SO0099</t>
  </si>
  <si>
    <t>C0024</t>
  </si>
  <si>
    <t>Customer 088</t>
  </si>
  <si>
    <t>SO0100</t>
  </si>
  <si>
    <t>C0045</t>
  </si>
  <si>
    <t>Customer 037</t>
  </si>
  <si>
    <t>SO0101</t>
  </si>
  <si>
    <t>C0072</t>
  </si>
  <si>
    <t>SO0102</t>
  </si>
  <si>
    <t>SO0103</t>
  </si>
  <si>
    <t>C0070</t>
  </si>
  <si>
    <t>Customer 075</t>
  </si>
  <si>
    <t>SO0104</t>
  </si>
  <si>
    <t>C0047</t>
  </si>
  <si>
    <t>Customer 036</t>
  </si>
  <si>
    <t>SO0105</t>
  </si>
  <si>
    <t>C0164</t>
  </si>
  <si>
    <t>SO0106</t>
  </si>
  <si>
    <t>SO0107</t>
  </si>
  <si>
    <t>C0063</t>
  </si>
  <si>
    <t>SO0108</t>
  </si>
  <si>
    <t>C0097</t>
  </si>
  <si>
    <t>Customer 046</t>
  </si>
  <si>
    <t>SO0109</t>
  </si>
  <si>
    <t>C0112</t>
  </si>
  <si>
    <t>SO0110</t>
  </si>
  <si>
    <t>Customer 099</t>
  </si>
  <si>
    <t>SO0111</t>
  </si>
  <si>
    <t>Customer 082</t>
  </si>
  <si>
    <t>SO0112</t>
  </si>
  <si>
    <t>C0039</t>
  </si>
  <si>
    <t>SO0113</t>
  </si>
  <si>
    <t>Customer 101</t>
  </si>
  <si>
    <t>SO0114</t>
  </si>
  <si>
    <t>C0077</t>
  </si>
  <si>
    <t>SO0115</t>
  </si>
  <si>
    <t>Customer 108</t>
  </si>
  <si>
    <t>SO0116</t>
  </si>
  <si>
    <t>Customer 139</t>
  </si>
  <si>
    <t>SO0117</t>
  </si>
  <si>
    <t>C0015</t>
  </si>
  <si>
    <t>Jeans</t>
  </si>
  <si>
    <t>SO0118</t>
  </si>
  <si>
    <t>C0172</t>
  </si>
  <si>
    <t>Customer 010</t>
  </si>
  <si>
    <t>SO0119</t>
  </si>
  <si>
    <t>C0127</t>
  </si>
  <si>
    <t>Customer 112</t>
  </si>
  <si>
    <t>SO0120</t>
  </si>
  <si>
    <t>C0074</t>
  </si>
  <si>
    <t>SO0121</t>
  </si>
  <si>
    <t>C0170</t>
  </si>
  <si>
    <t>SO0122</t>
  </si>
  <si>
    <t>C0005</t>
  </si>
  <si>
    <t>Customer 152</t>
  </si>
  <si>
    <t>SO0123</t>
  </si>
  <si>
    <t>SO0124</t>
  </si>
  <si>
    <t>SO0125</t>
  </si>
  <si>
    <t>SO0126</t>
  </si>
  <si>
    <t>C0068</t>
  </si>
  <si>
    <t>SO0127</t>
  </si>
  <si>
    <t>Customer 115</t>
  </si>
  <si>
    <t>SO0128</t>
  </si>
  <si>
    <t>C0086</t>
  </si>
  <si>
    <t>SO0129</t>
  </si>
  <si>
    <t>C0103</t>
  </si>
  <si>
    <t>SO0130</t>
  </si>
  <si>
    <t>Customer 070</t>
  </si>
  <si>
    <t>SO0131</t>
  </si>
  <si>
    <t>C0054</t>
  </si>
  <si>
    <t>SO0132</t>
  </si>
  <si>
    <t>SO0133</t>
  </si>
  <si>
    <t>SO0134</t>
  </si>
  <si>
    <t>SO0135</t>
  </si>
  <si>
    <t>SO0136</t>
  </si>
  <si>
    <t>SO0137</t>
  </si>
  <si>
    <t>C0029</t>
  </si>
  <si>
    <t>Customer 020</t>
  </si>
  <si>
    <t>SO0138</t>
  </si>
  <si>
    <t>Customer 065</t>
  </si>
  <si>
    <t>SO0139</t>
  </si>
  <si>
    <t>Customer 018</t>
  </si>
  <si>
    <t>SO0140</t>
  </si>
  <si>
    <t>SO0141</t>
  </si>
  <si>
    <t>C0151</t>
  </si>
  <si>
    <t>SO0142</t>
  </si>
  <si>
    <t>SO0143</t>
  </si>
  <si>
    <t>SO0144</t>
  </si>
  <si>
    <t>C0020</t>
  </si>
  <si>
    <t>SO0145</t>
  </si>
  <si>
    <t>C0004</t>
  </si>
  <si>
    <t>Customer 145</t>
  </si>
  <si>
    <t>SO0146</t>
  </si>
  <si>
    <t>Customer 071</t>
  </si>
  <si>
    <t>SO0147</t>
  </si>
  <si>
    <t>SO0148</t>
  </si>
  <si>
    <t>Customer 146</t>
  </si>
  <si>
    <t>SO0149</t>
  </si>
  <si>
    <t>C0136</t>
  </si>
  <si>
    <t>Customer 049</t>
  </si>
  <si>
    <t>SO0150</t>
  </si>
  <si>
    <t>Customer 119</t>
  </si>
  <si>
    <t>SO0151</t>
  </si>
  <si>
    <t>Customer 102</t>
  </si>
  <si>
    <t>SO0152</t>
  </si>
  <si>
    <t>SO0153</t>
  </si>
  <si>
    <t>C0038</t>
  </si>
  <si>
    <t>SO0154</t>
  </si>
  <si>
    <t>Customer 096</t>
  </si>
  <si>
    <t>SO0155</t>
  </si>
  <si>
    <t>SO0156</t>
  </si>
  <si>
    <t>Customer 030</t>
  </si>
  <si>
    <t>SO0157</t>
  </si>
  <si>
    <t>SO0158</t>
  </si>
  <si>
    <t>C0012</t>
  </si>
  <si>
    <t>Customer 171</t>
  </si>
  <si>
    <t>SO0159</t>
  </si>
  <si>
    <t>Customer 176</t>
  </si>
  <si>
    <t>SO0160</t>
  </si>
  <si>
    <t>C0090</t>
  </si>
  <si>
    <t>Customer 017</t>
  </si>
  <si>
    <t>SO0161</t>
  </si>
  <si>
    <t>SO0162</t>
  </si>
  <si>
    <t>SO0163</t>
  </si>
  <si>
    <t>SO0164</t>
  </si>
  <si>
    <t>C0006</t>
  </si>
  <si>
    <t>SO0165</t>
  </si>
  <si>
    <t>SO0166</t>
  </si>
  <si>
    <t>C0075</t>
  </si>
  <si>
    <t>SO0167</t>
  </si>
  <si>
    <t>C0027</t>
  </si>
  <si>
    <t>SO0168</t>
  </si>
  <si>
    <t>SO0169</t>
  </si>
  <si>
    <t>SO0170</t>
  </si>
  <si>
    <t>C0003</t>
  </si>
  <si>
    <t>Customer 063</t>
  </si>
  <si>
    <t>SO0171</t>
  </si>
  <si>
    <t>C0115</t>
  </si>
  <si>
    <t>SO0172</t>
  </si>
  <si>
    <t>Customer 167</t>
  </si>
  <si>
    <t>SO0173</t>
  </si>
  <si>
    <t>Customer 121</t>
  </si>
  <si>
    <t>SO0174</t>
  </si>
  <si>
    <t>SO0175</t>
  </si>
  <si>
    <t>C0100</t>
  </si>
  <si>
    <t>SO0176</t>
  </si>
  <si>
    <t>C0033</t>
  </si>
  <si>
    <t>Customer 005</t>
  </si>
  <si>
    <t>SO0177</t>
  </si>
  <si>
    <t>Office Chair</t>
  </si>
  <si>
    <t>SO0178</t>
  </si>
  <si>
    <t>SO0179</t>
  </si>
  <si>
    <t>Customer 050</t>
  </si>
  <si>
    <t>SO0180</t>
  </si>
  <si>
    <t>C0031</t>
  </si>
  <si>
    <t>SO0181</t>
  </si>
  <si>
    <t>C0114</t>
  </si>
  <si>
    <t>Customer 140</t>
  </si>
  <si>
    <t>SO0182</t>
  </si>
  <si>
    <t>C0135</t>
  </si>
  <si>
    <t>Customer 111</t>
  </si>
  <si>
    <t>SO0183</t>
  </si>
  <si>
    <t>C0009</t>
  </si>
  <si>
    <t>Customer 104</t>
  </si>
  <si>
    <t>SO0184</t>
  </si>
  <si>
    <t>Customer 013</t>
  </si>
  <si>
    <t>SO0185</t>
  </si>
  <si>
    <t>Customer 132</t>
  </si>
  <si>
    <t>SO0186</t>
  </si>
  <si>
    <t>SO0187</t>
  </si>
  <si>
    <t>SO0188</t>
  </si>
  <si>
    <t>SO0189</t>
  </si>
  <si>
    <t>C0071</t>
  </si>
  <si>
    <t>SO0190</t>
  </si>
  <si>
    <t>SO0191</t>
  </si>
  <si>
    <t>C0160</t>
  </si>
  <si>
    <t>Customer 052</t>
  </si>
  <si>
    <t>SO0192</t>
  </si>
  <si>
    <t>C0177</t>
  </si>
  <si>
    <t>Customer 035</t>
  </si>
  <si>
    <t>SO0193</t>
  </si>
  <si>
    <t>Customer 025</t>
  </si>
  <si>
    <t>SO0194</t>
  </si>
  <si>
    <t>C0161</t>
  </si>
  <si>
    <t>SO0195</t>
  </si>
  <si>
    <t>SO0196</t>
  </si>
  <si>
    <t>SO0197</t>
  </si>
  <si>
    <t>C0168</t>
  </si>
  <si>
    <t>SO0198</t>
  </si>
  <si>
    <t>Customer 077</t>
  </si>
  <si>
    <t>SO0199</t>
  </si>
  <si>
    <t>SO0200</t>
  </si>
  <si>
    <t>Customer 073</t>
  </si>
  <si>
    <t>SO0201</t>
  </si>
  <si>
    <t>SO0202</t>
  </si>
  <si>
    <t>C0048</t>
  </si>
  <si>
    <t>SO0203</t>
  </si>
  <si>
    <t>C0078</t>
  </si>
  <si>
    <t>Customer 129</t>
  </si>
  <si>
    <t>SO0204</t>
  </si>
  <si>
    <t>SO0205</t>
  </si>
  <si>
    <t>SO0206</t>
  </si>
  <si>
    <t>SO0207</t>
  </si>
  <si>
    <t>SO0208</t>
  </si>
  <si>
    <t>C0102</t>
  </si>
  <si>
    <t>Customer 047</t>
  </si>
  <si>
    <t>SO0209</t>
  </si>
  <si>
    <t>Customer 023</t>
  </si>
  <si>
    <t>SO0210</t>
  </si>
  <si>
    <t>SO0211</t>
  </si>
  <si>
    <t>SO0212</t>
  </si>
  <si>
    <t>C0128</t>
  </si>
  <si>
    <t>SO0213</t>
  </si>
  <si>
    <t>C0119</t>
  </si>
  <si>
    <t>SO0214</t>
  </si>
  <si>
    <t>Customer 125</t>
  </si>
  <si>
    <t>SO0215</t>
  </si>
  <si>
    <t>C0067</t>
  </si>
  <si>
    <t>SO0216</t>
  </si>
  <si>
    <t>Customer 069</t>
  </si>
  <si>
    <t>SO0217</t>
  </si>
  <si>
    <t>SO0218</t>
  </si>
  <si>
    <t>SO0219</t>
  </si>
  <si>
    <t>SO0220</t>
  </si>
  <si>
    <t>SO0221</t>
  </si>
  <si>
    <t>SO0222</t>
  </si>
  <si>
    <t>Customer 162</t>
  </si>
  <si>
    <t>SO0223</t>
  </si>
  <si>
    <t>SO0224</t>
  </si>
  <si>
    <t>Customer 087</t>
  </si>
  <si>
    <t>SO0225</t>
  </si>
  <si>
    <t>SO0226</t>
  </si>
  <si>
    <t>SO0227</t>
  </si>
  <si>
    <t>SO0228</t>
  </si>
  <si>
    <t>C0148</t>
  </si>
  <si>
    <t>SO0229</t>
  </si>
  <si>
    <t>SO0230</t>
  </si>
  <si>
    <t>Customer 089</t>
  </si>
  <si>
    <t>SO0231</t>
  </si>
  <si>
    <t>C0101</t>
  </si>
  <si>
    <t>SO0232</t>
  </si>
  <si>
    <t>SO0233</t>
  </si>
  <si>
    <t>Customer 130</t>
  </si>
  <si>
    <t>SO0234</t>
  </si>
  <si>
    <t>SO0235</t>
  </si>
  <si>
    <t>SO0236</t>
  </si>
  <si>
    <t>C0057</t>
  </si>
  <si>
    <t>SO0237</t>
  </si>
  <si>
    <t>SO0238</t>
  </si>
  <si>
    <t>C0001</t>
  </si>
  <si>
    <t>SO0239</t>
  </si>
  <si>
    <t>Customer 113</t>
  </si>
  <si>
    <t>SO0240</t>
  </si>
  <si>
    <t>C0018</t>
  </si>
  <si>
    <t>SO0241</t>
  </si>
  <si>
    <t>Customer 076</t>
  </si>
  <si>
    <t>SO0242</t>
  </si>
  <si>
    <t>SO0243</t>
  </si>
  <si>
    <t>Customer 160</t>
  </si>
  <si>
    <t>SO0244</t>
  </si>
  <si>
    <t>SO0245</t>
  </si>
  <si>
    <t>Customer 042</t>
  </si>
  <si>
    <t>SO0246</t>
  </si>
  <si>
    <t>C0111</t>
  </si>
  <si>
    <t>SO0247</t>
  </si>
  <si>
    <t>SO0248</t>
  </si>
  <si>
    <t>SO0249</t>
  </si>
  <si>
    <t>SO0250</t>
  </si>
  <si>
    <t>Customer 131</t>
  </si>
  <si>
    <t>SO0251</t>
  </si>
  <si>
    <t>SO0252</t>
  </si>
  <si>
    <t>SO0253</t>
  </si>
  <si>
    <t>SO0254</t>
  </si>
  <si>
    <t>Customer 044</t>
  </si>
  <si>
    <t>SO0255</t>
  </si>
  <si>
    <t>C0156</t>
  </si>
  <si>
    <t>SO0256</t>
  </si>
  <si>
    <t>C0049</t>
  </si>
  <si>
    <t>SO0257</t>
  </si>
  <si>
    <t>SO0258</t>
  </si>
  <si>
    <t>Customer 007</t>
  </si>
  <si>
    <t>SO0259</t>
  </si>
  <si>
    <t>Customer 172</t>
  </si>
  <si>
    <t>SO0260</t>
  </si>
  <si>
    <t>SO0261</t>
  </si>
  <si>
    <t>C0118</t>
  </si>
  <si>
    <t>Customer 177</t>
  </si>
  <si>
    <t>SO0262</t>
  </si>
  <si>
    <t>C0152</t>
  </si>
  <si>
    <t>SO0263</t>
  </si>
  <si>
    <t>SO0264</t>
  </si>
  <si>
    <t>SO0265</t>
  </si>
  <si>
    <t>SO0266</t>
  </si>
  <si>
    <t>SO0267</t>
  </si>
  <si>
    <t>Customer 133</t>
  </si>
  <si>
    <t>SO0268</t>
  </si>
  <si>
    <t>SO0269</t>
  </si>
  <si>
    <t>SO0270</t>
  </si>
  <si>
    <t>SO0271</t>
  </si>
  <si>
    <t>Customer 097</t>
  </si>
  <si>
    <t>SO0272</t>
  </si>
  <si>
    <t>SO0273</t>
  </si>
  <si>
    <t>C0144</t>
  </si>
  <si>
    <t>SO0274</t>
  </si>
  <si>
    <t>Customer 137</t>
  </si>
  <si>
    <t>SO0275</t>
  </si>
  <si>
    <t>C0105</t>
  </si>
  <si>
    <t>SO0276</t>
  </si>
  <si>
    <t>C0064</t>
  </si>
  <si>
    <t>Customer 179</t>
  </si>
  <si>
    <t>SO0277</t>
  </si>
  <si>
    <t>SO0278</t>
  </si>
  <si>
    <t>SO0279</t>
  </si>
  <si>
    <t>SO0280</t>
  </si>
  <si>
    <t>Customer 153</t>
  </si>
  <si>
    <t>SO0281</t>
  </si>
  <si>
    <t>SO0282</t>
  </si>
  <si>
    <t>Customer 039</t>
  </si>
  <si>
    <t>SO0283</t>
  </si>
  <si>
    <t>C0147</t>
  </si>
  <si>
    <t>Customer 038</t>
  </si>
  <si>
    <t>SO0284</t>
  </si>
  <si>
    <t>SO0285</t>
  </si>
  <si>
    <t>C0154</t>
  </si>
  <si>
    <t>SO0286</t>
  </si>
  <si>
    <t>C0017</t>
  </si>
  <si>
    <t>SO0287</t>
  </si>
  <si>
    <t>Customer 141</t>
  </si>
  <si>
    <t>SO0288</t>
  </si>
  <si>
    <t>Customer 062</t>
  </si>
  <si>
    <t>SO0289</t>
  </si>
  <si>
    <t>SO0290</t>
  </si>
  <si>
    <t>SO0291</t>
  </si>
  <si>
    <t>SO0292</t>
  </si>
  <si>
    <t>SO0293</t>
  </si>
  <si>
    <t>SO0294</t>
  </si>
  <si>
    <t>C0060</t>
  </si>
  <si>
    <t>SO0295</t>
  </si>
  <si>
    <t>SO0296</t>
  </si>
  <si>
    <t>Customer 014</t>
  </si>
  <si>
    <t>SO0297</t>
  </si>
  <si>
    <t>SO0298</t>
  </si>
  <si>
    <t>SO0299</t>
  </si>
  <si>
    <t>SO0300</t>
  </si>
  <si>
    <t>C0011</t>
  </si>
  <si>
    <t>SO0301</t>
  </si>
  <si>
    <t>C0030</t>
  </si>
  <si>
    <t>Customer 094</t>
  </si>
  <si>
    <t>SO0302</t>
  </si>
  <si>
    <t>SO0303</t>
  </si>
  <si>
    <t>SO0304</t>
  </si>
  <si>
    <t>Customer 004</t>
  </si>
  <si>
    <t>SO0305</t>
  </si>
  <si>
    <t>C0040</t>
  </si>
  <si>
    <t>SO0306</t>
  </si>
  <si>
    <t>C0085</t>
  </si>
  <si>
    <t>SO0307</t>
  </si>
  <si>
    <t>C0178</t>
  </si>
  <si>
    <t>Customer 092</t>
  </si>
  <si>
    <t>SO0308</t>
  </si>
  <si>
    <t>SO0309</t>
  </si>
  <si>
    <t>SO0310</t>
  </si>
  <si>
    <t>SO0311</t>
  </si>
  <si>
    <t>SO0312</t>
  </si>
  <si>
    <t>SO0313</t>
  </si>
  <si>
    <t>SO0314</t>
  </si>
  <si>
    <t>C0096</t>
  </si>
  <si>
    <t>Customer 090</t>
  </si>
  <si>
    <t>SO0315</t>
  </si>
  <si>
    <t>SO0316</t>
  </si>
  <si>
    <t>SO0317</t>
  </si>
  <si>
    <t>SO0318</t>
  </si>
  <si>
    <t>C0179</t>
  </si>
  <si>
    <t>SO0319</t>
  </si>
  <si>
    <t>SO0320</t>
  </si>
  <si>
    <t>SO0321</t>
  </si>
  <si>
    <t>SO0322</t>
  </si>
  <si>
    <t>SO0323</t>
  </si>
  <si>
    <t>SO0324</t>
  </si>
  <si>
    <t>Customer 123</t>
  </si>
  <si>
    <t>SO0325</t>
  </si>
  <si>
    <t>SO0326</t>
  </si>
  <si>
    <t>SO0327</t>
  </si>
  <si>
    <t>SO0328</t>
  </si>
  <si>
    <t>SO0329</t>
  </si>
  <si>
    <t>SO0330</t>
  </si>
  <si>
    <t>SO0331</t>
  </si>
  <si>
    <t>SO0332</t>
  </si>
  <si>
    <t>SO0333</t>
  </si>
  <si>
    <t>SO0334</t>
  </si>
  <si>
    <t>SO0335</t>
  </si>
  <si>
    <t>Customer 009</t>
  </si>
  <si>
    <t>SO0336</t>
  </si>
  <si>
    <t>C0022</t>
  </si>
  <si>
    <t>SO0337</t>
  </si>
  <si>
    <t>SO0338</t>
  </si>
  <si>
    <t>SO0339</t>
  </si>
  <si>
    <t>SO0340</t>
  </si>
  <si>
    <t>Customer 136</t>
  </si>
  <si>
    <t>SO0341</t>
  </si>
  <si>
    <t>Customer 126</t>
  </si>
  <si>
    <t>SO0342</t>
  </si>
  <si>
    <t>C0093</t>
  </si>
  <si>
    <t>SO0343</t>
  </si>
  <si>
    <t>C0062</t>
  </si>
  <si>
    <t>SO0344</t>
  </si>
  <si>
    <t>Customer 159</t>
  </si>
  <si>
    <t>SO0345</t>
  </si>
  <si>
    <t>C0002</t>
  </si>
  <si>
    <t>SO0346</t>
  </si>
  <si>
    <t>SO0347</t>
  </si>
  <si>
    <t>SO0348</t>
  </si>
  <si>
    <t>SO0349</t>
  </si>
  <si>
    <t>SO0350</t>
  </si>
  <si>
    <t>SO0351</t>
  </si>
  <si>
    <t>SO0352</t>
  </si>
  <si>
    <t>C0116</t>
  </si>
  <si>
    <t>SO0353</t>
  </si>
  <si>
    <t>SO0354</t>
  </si>
  <si>
    <t>SO0355</t>
  </si>
  <si>
    <t>SO0356</t>
  </si>
  <si>
    <t>SO0357</t>
  </si>
  <si>
    <t>SO0358</t>
  </si>
  <si>
    <t>SO0359</t>
  </si>
  <si>
    <t>SO0360</t>
  </si>
  <si>
    <t>Customer 053</t>
  </si>
  <si>
    <t>SO0361</t>
  </si>
  <si>
    <t>SO0362</t>
  </si>
  <si>
    <t>SO0363</t>
  </si>
  <si>
    <t>SO0364</t>
  </si>
  <si>
    <t>Customer 168</t>
  </si>
  <si>
    <t>SO0365</t>
  </si>
  <si>
    <t>SO0366</t>
  </si>
  <si>
    <t>SO0367</t>
  </si>
  <si>
    <t>SO0368</t>
  </si>
  <si>
    <t>SO0369</t>
  </si>
  <si>
    <t>SO0370</t>
  </si>
  <si>
    <t>SO0371</t>
  </si>
  <si>
    <t>C0041</t>
  </si>
  <si>
    <t>SO0372</t>
  </si>
  <si>
    <t>SO0373</t>
  </si>
  <si>
    <t>Customer 161</t>
  </si>
  <si>
    <t>SO0374</t>
  </si>
  <si>
    <t>SO0375</t>
  </si>
  <si>
    <t>SO0376</t>
  </si>
  <si>
    <t>C0088</t>
  </si>
  <si>
    <t>SO0377</t>
  </si>
  <si>
    <t>SO0378</t>
  </si>
  <si>
    <t>C0138</t>
  </si>
  <si>
    <t>SO0379</t>
  </si>
  <si>
    <t>SO0380</t>
  </si>
  <si>
    <t>C0061</t>
  </si>
  <si>
    <t>SO0381</t>
  </si>
  <si>
    <t>C0016</t>
  </si>
  <si>
    <t>SO0382</t>
  </si>
  <si>
    <t>C0146</t>
  </si>
  <si>
    <t>SO0383</t>
  </si>
  <si>
    <t>SO0384</t>
  </si>
  <si>
    <t>SO0385</t>
  </si>
  <si>
    <t>SO0386</t>
  </si>
  <si>
    <t>SO0387</t>
  </si>
  <si>
    <t>C0162</t>
  </si>
  <si>
    <t>SO0388</t>
  </si>
  <si>
    <t>SO0389</t>
  </si>
  <si>
    <t>SO0390</t>
  </si>
  <si>
    <t>SO0391</t>
  </si>
  <si>
    <t>SO0392</t>
  </si>
  <si>
    <t>SO0393</t>
  </si>
  <si>
    <t>SO0394</t>
  </si>
  <si>
    <t>SO0395</t>
  </si>
  <si>
    <t>SO0396</t>
  </si>
  <si>
    <t>SO0397</t>
  </si>
  <si>
    <t>C0171</t>
  </si>
  <si>
    <t>SO0398</t>
  </si>
  <si>
    <t>Customer 118</t>
  </si>
  <si>
    <t>SO0399</t>
  </si>
  <si>
    <t>SO0400</t>
  </si>
  <si>
    <t>SO0401</t>
  </si>
  <si>
    <t>SO0402</t>
  </si>
  <si>
    <t>SO0403</t>
  </si>
  <si>
    <t>C0008</t>
  </si>
  <si>
    <t>SO0404</t>
  </si>
  <si>
    <t>C0141</t>
  </si>
  <si>
    <t>SO0405</t>
  </si>
  <si>
    <t>SO0406</t>
  </si>
  <si>
    <t>C0052</t>
  </si>
  <si>
    <t>SO0407</t>
  </si>
  <si>
    <t>SO0408</t>
  </si>
  <si>
    <t>SO0409</t>
  </si>
  <si>
    <t>SO0410</t>
  </si>
  <si>
    <t>SO0411</t>
  </si>
  <si>
    <t>SO0412</t>
  </si>
  <si>
    <t>SO0413</t>
  </si>
  <si>
    <t>SO0414</t>
  </si>
  <si>
    <t>SO0415</t>
  </si>
  <si>
    <t>SO0416</t>
  </si>
  <si>
    <t>SO0417</t>
  </si>
  <si>
    <t>SO0418</t>
  </si>
  <si>
    <t>Customer 103</t>
  </si>
  <si>
    <t>SO0419</t>
  </si>
  <si>
    <t>SO0420</t>
  </si>
  <si>
    <t>SO0421</t>
  </si>
  <si>
    <t>SO0422</t>
  </si>
  <si>
    <t>C0173</t>
  </si>
  <si>
    <t>SO0423</t>
  </si>
  <si>
    <t>SO0424</t>
  </si>
  <si>
    <t>SO0425</t>
  </si>
  <si>
    <t>SO0426</t>
  </si>
  <si>
    <t>Customer 173</t>
  </si>
  <si>
    <t>SO0427</t>
  </si>
  <si>
    <t>SO0428</t>
  </si>
  <si>
    <t>C0065</t>
  </si>
  <si>
    <t>SO0429</t>
  </si>
  <si>
    <t>SO0430</t>
  </si>
  <si>
    <t>SO0431</t>
  </si>
  <si>
    <t>SO0432</t>
  </si>
  <si>
    <t>SO0433</t>
  </si>
  <si>
    <t>SO0434</t>
  </si>
  <si>
    <t>SO0435</t>
  </si>
  <si>
    <t>SO0436</t>
  </si>
  <si>
    <t>SO0437</t>
  </si>
  <si>
    <t>SO0438</t>
  </si>
  <si>
    <t>SO0439</t>
  </si>
  <si>
    <t>C0058</t>
  </si>
  <si>
    <t>SO0440</t>
  </si>
  <si>
    <t>SO0441</t>
  </si>
  <si>
    <t>SO0442</t>
  </si>
  <si>
    <t>SO0443</t>
  </si>
  <si>
    <t>SO0444</t>
  </si>
  <si>
    <t>SO0445</t>
  </si>
  <si>
    <t>SO0446</t>
  </si>
  <si>
    <t>SO0447</t>
  </si>
  <si>
    <t>SO0448</t>
  </si>
  <si>
    <t>C0079</t>
  </si>
  <si>
    <t>Customer 054</t>
  </si>
  <si>
    <t>SO0449</t>
  </si>
  <si>
    <t>SO0450</t>
  </si>
  <si>
    <t>Customer 158</t>
  </si>
  <si>
    <t>SO0451</t>
  </si>
  <si>
    <t>SO0452</t>
  </si>
  <si>
    <t>SO0453</t>
  </si>
  <si>
    <t>SO0454</t>
  </si>
  <si>
    <t>SO0455</t>
  </si>
  <si>
    <t>C0123</t>
  </si>
  <si>
    <t>SO0456</t>
  </si>
  <si>
    <t>SO0457</t>
  </si>
  <si>
    <t>SO0458</t>
  </si>
  <si>
    <t>SO0459</t>
  </si>
  <si>
    <t>SO0460</t>
  </si>
  <si>
    <t>SO0461</t>
  </si>
  <si>
    <t>SO0462</t>
  </si>
  <si>
    <t>SO0463</t>
  </si>
  <si>
    <t>SO0464</t>
  </si>
  <si>
    <t>SO0465</t>
  </si>
  <si>
    <t>SO0466</t>
  </si>
  <si>
    <t>SO0467</t>
  </si>
  <si>
    <t>SO0468</t>
  </si>
  <si>
    <t>SO0469</t>
  </si>
  <si>
    <t>SO0470</t>
  </si>
  <si>
    <t>SO0471</t>
  </si>
  <si>
    <t>SO0472</t>
  </si>
  <si>
    <t>SO0473</t>
  </si>
  <si>
    <t>SO0474</t>
  </si>
  <si>
    <t>Customer 178</t>
  </si>
  <si>
    <t>SO0475</t>
  </si>
  <si>
    <t>SO0476</t>
  </si>
  <si>
    <t>SO0477</t>
  </si>
  <si>
    <t>Customer 154</t>
  </si>
  <si>
    <t>SO0478</t>
  </si>
  <si>
    <t>SO0479</t>
  </si>
  <si>
    <t>SO0480</t>
  </si>
  <si>
    <t>SO0481</t>
  </si>
  <si>
    <t>SO0482</t>
  </si>
  <si>
    <t>SO0483</t>
  </si>
  <si>
    <t>SO0484</t>
  </si>
  <si>
    <t>SO0485</t>
  </si>
  <si>
    <t>SO0486</t>
  </si>
  <si>
    <t>SO0487</t>
  </si>
  <si>
    <t>SO0488</t>
  </si>
  <si>
    <t>SO0489</t>
  </si>
  <si>
    <t>SO0490</t>
  </si>
  <si>
    <t>SO0491</t>
  </si>
  <si>
    <t>SO0492</t>
  </si>
  <si>
    <t>SO0493</t>
  </si>
  <si>
    <t>SO0494</t>
  </si>
  <si>
    <t>SO0495</t>
  </si>
  <si>
    <t>SO0496</t>
  </si>
  <si>
    <t>SO0497</t>
  </si>
  <si>
    <t>SO0498</t>
  </si>
  <si>
    <t>SO0499</t>
  </si>
  <si>
    <t>SO0500</t>
  </si>
  <si>
    <t>Sales</t>
  </si>
  <si>
    <t>Profit</t>
  </si>
  <si>
    <t>Total sales</t>
  </si>
  <si>
    <t>Total profit</t>
  </si>
  <si>
    <t>KPI Name</t>
  </si>
  <si>
    <t>KPI Value</t>
  </si>
  <si>
    <t>Total Sales</t>
  </si>
  <si>
    <t>Total Profit</t>
  </si>
  <si>
    <t>Total Orders</t>
  </si>
  <si>
    <t>Total Quantity</t>
  </si>
  <si>
    <t>Average Sales</t>
  </si>
  <si>
    <t>Row Labels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</si>
  <si>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</si>
  <si>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</si>
  <si>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</si>
  <si>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</si>
  <si>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</si>
  <si>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</si>
  <si>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</si>
  <si>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</si>
  <si>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</si>
  <si>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</si>
  <si>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</si>
  <si>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</si>
  <si>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</si>
  <si>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</si>
  <si>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2025</t>
  </si>
  <si>
    <t>SALES DATA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</si>
</sst>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2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 indent="1"/>
    </xf>
    <xf numFmtId="0" fontId="3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[sales_data_analysis.xlsx.xlsx]pivot tables!PivotTable1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</a:t>
            </a:r>
            <a:r>
              <a:rPr lang="en-US" sz="1600" b="1" baseline="0"/>
              <a:t>Region</a:t>
            </a:r>
            <a:endParaRPr lang="en-US" sz="1600" b="1"/>
          </a:p>
        </c:rich>
      </c:tx>
      <c:layout>
        <c:manualLayout>
          <c:xMode val="edge"/>
          <c:yMode val="edge"/>
          <c:x val="0.35436814506093856"/>
          <c:y val="7.50810099369941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tables'!$B$4:$B$8</c:f>
              <c:numCache>
                <c:formatCode>General</c:formatCode>
                <c:ptCount val="4"/>
                <c:pt idx="0">
                  <c:v>2877502.5</c:v>
                </c:pt>
                <c:pt idx="1">
                  <c:v>2120027.5</c:v>
                </c:pt>
                <c:pt idx="2">
                  <c:v>1845167.5</c:v>
                </c:pt>
                <c:pt idx="3">
                  <c:v>2957610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74-4DE1-90C2-244FBCAC5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0809648"/>
        <c:axId val="638412624"/>
      </c:barChart>
      <c:catAx>
        <c:axId val="60080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412624"/>
        <c:crosses val="autoZero"/>
        <c:auto val="1"/>
        <c:lblAlgn val="ctr"/>
        <c:lblOffset val="100"/>
        <c:noMultiLvlLbl val="0"/>
      </c:catAx>
      <c:valAx>
        <c:axId val="63841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80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Sales</a:t>
            </a:r>
            <a:r>
              <a:rPr lang="en-US" sz="1400" b="1" baseline="0"/>
              <a:t> By Category</a:t>
            </a:r>
            <a:r>
              <a:rPr lang="en-US" sz="1400" b="1"/>
              <a:t>l</a:t>
            </a:r>
          </a:p>
        </c:rich>
      </c:tx>
      <c:layout>
        <c:manualLayout>
          <c:xMode val="edge"/>
          <c:yMode val="edge"/>
          <c:x val="0.33503125799633354"/>
          <c:y val="9.88716493132373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Clothing</c:v>
              </c:pt>
              <c:pt idx="1">
                <c:v>Electronics</c:v>
              </c:pt>
              <c:pt idx="2">
                <c:v>Furniture</c:v>
              </c:pt>
              <c:pt idx="3">
                <c:v>Home &amp; Kitchen</c:v>
              </c:pt>
            </c:strLit>
          </c:cat>
          <c:val>
            <c:numLit>
              <c:formatCode>General</c:formatCode>
              <c:ptCount val="4"/>
              <c:pt idx="0">
                <c:v>638685</c:v>
              </c:pt>
              <c:pt idx="1">
                <c:v>4477230</c:v>
              </c:pt>
              <c:pt idx="2">
                <c:v>4173200</c:v>
              </c:pt>
              <c:pt idx="3">
                <c:v>511192.5</c:v>
              </c:pt>
            </c:numLit>
          </c:val>
          <c:extLst>
            <c:ext xmlns:c16="http://schemas.microsoft.com/office/drawing/2014/chart" uri="{C3380CC4-5D6E-409C-BE32-E72D297353CC}">
              <c16:uniqueId val="{00000000-68AF-461F-87D6-4B0C59FB8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6829632"/>
        <c:axId val="638330064"/>
      </c:barChart>
      <c:catAx>
        <c:axId val="64682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330064"/>
        <c:crosses val="autoZero"/>
        <c:auto val="1"/>
        <c:lblAlgn val="ctr"/>
        <c:lblOffset val="100"/>
        <c:noMultiLvlLbl val="0"/>
      </c:catAx>
      <c:valAx>
        <c:axId val="63833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82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Monthly</a:t>
            </a:r>
            <a:r>
              <a:rPr lang="en-US" sz="1600" b="1" baseline="0"/>
              <a:t> Sales Trends</a:t>
            </a:r>
            <a:r>
              <a:rPr lang="en-US" sz="1600" b="1"/>
              <a:t>l</a:t>
            </a:r>
          </a:p>
        </c:rich>
      </c:tx>
      <c:layout>
        <c:manualLayout>
          <c:xMode val="edge"/>
          <c:yMode val="edge"/>
          <c:x val="0.31624381762926451"/>
          <c:y val="9.88716493132373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2025 Jan</c:v>
              </c:pt>
              <c:pt idx="1">
                <c:v>2025 Feb</c:v>
              </c:pt>
              <c:pt idx="2">
                <c:v>2025 Mar</c:v>
              </c:pt>
              <c:pt idx="3">
                <c:v>2025 Apr</c:v>
              </c:pt>
              <c:pt idx="4">
                <c:v>2025 May</c:v>
              </c:pt>
              <c:pt idx="5">
                <c:v>2025 Jun</c:v>
              </c:pt>
              <c:pt idx="6">
                <c:v>2025 Jul</c:v>
              </c:pt>
              <c:pt idx="7">
                <c:v>2025 Aug</c:v>
              </c:pt>
              <c:pt idx="8">
                <c:v>2025 Sep</c:v>
              </c:pt>
              <c:pt idx="9">
                <c:v>2025 Oct</c:v>
              </c:pt>
              <c:pt idx="10">
                <c:v>2025 Nov</c:v>
              </c:pt>
              <c:pt idx="11">
                <c:v>2025 Dec</c:v>
              </c:pt>
            </c:strLit>
          </c:cat>
          <c:val>
            <c:numLit>
              <c:formatCode>General</c:formatCode>
              <c:ptCount val="12"/>
              <c:pt idx="0">
                <c:v>710787.5</c:v>
              </c:pt>
              <c:pt idx="1">
                <c:v>689825</c:v>
              </c:pt>
              <c:pt idx="2">
                <c:v>1018080</c:v>
              </c:pt>
              <c:pt idx="3">
                <c:v>638047.5</c:v>
              </c:pt>
              <c:pt idx="4">
                <c:v>650345</c:v>
              </c:pt>
              <c:pt idx="5">
                <c:v>554745</c:v>
              </c:pt>
              <c:pt idx="6">
                <c:v>1317427.5</c:v>
              </c:pt>
              <c:pt idx="7">
                <c:v>695315</c:v>
              </c:pt>
              <c:pt idx="8">
                <c:v>678215</c:v>
              </c:pt>
              <c:pt idx="9">
                <c:v>928157.5</c:v>
              </c:pt>
              <c:pt idx="10">
                <c:v>606377.5</c:v>
              </c:pt>
              <c:pt idx="11">
                <c:v>1312985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304-4626-ACA8-FD5C1C40E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8374464"/>
        <c:axId val="638309424"/>
      </c:lineChart>
      <c:catAx>
        <c:axId val="65837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309424"/>
        <c:crosses val="autoZero"/>
        <c:auto val="1"/>
        <c:lblAlgn val="ctr"/>
        <c:lblOffset val="100"/>
        <c:noMultiLvlLbl val="0"/>
      </c:catAx>
      <c:valAx>
        <c:axId val="63830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374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[sales_data_analysis.xlsx.xlsx]pivot tables!PivotTable1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</a:t>
            </a:r>
            <a:r>
              <a:rPr lang="en-US" sz="1600" b="1" baseline="0"/>
              <a:t>Region</a:t>
            </a:r>
            <a:endParaRPr lang="en-US" sz="1600" b="1"/>
          </a:p>
        </c:rich>
      </c:tx>
      <c:layout>
        <c:manualLayout>
          <c:xMode val="edge"/>
          <c:yMode val="edge"/>
          <c:x val="0.35436814506093856"/>
          <c:y val="7.50810099369941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tables'!$B$4:$B$8</c:f>
              <c:numCache>
                <c:formatCode>General</c:formatCode>
                <c:ptCount val="4"/>
                <c:pt idx="0">
                  <c:v>2877502.5</c:v>
                </c:pt>
                <c:pt idx="1">
                  <c:v>2120027.5</c:v>
                </c:pt>
                <c:pt idx="2">
                  <c:v>1845167.5</c:v>
                </c:pt>
                <c:pt idx="3">
                  <c:v>2957610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F-45B3-BB0B-822EA950A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0809648"/>
        <c:axId val="638412624"/>
      </c:barChart>
      <c:catAx>
        <c:axId val="60080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412624"/>
        <c:crosses val="autoZero"/>
        <c:auto val="1"/>
        <c:lblAlgn val="ctr"/>
        <c:lblOffset val="100"/>
        <c:noMultiLvlLbl val="0"/>
      </c:catAx>
      <c:valAx>
        <c:axId val="63841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80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Sales</a:t>
            </a:r>
            <a:r>
              <a:rPr lang="en-US" sz="1400" b="1" baseline="0"/>
              <a:t> By Category</a:t>
            </a:r>
            <a:r>
              <a:rPr lang="en-US" sz="1400" b="1"/>
              <a:t>l</a:t>
            </a:r>
          </a:p>
        </c:rich>
      </c:tx>
      <c:layout>
        <c:manualLayout>
          <c:xMode val="edge"/>
          <c:yMode val="edge"/>
          <c:x val="0.33503125799633354"/>
          <c:y val="9.88716493132373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Clothing</c:v>
              </c:pt>
              <c:pt idx="1">
                <c:v>Electronics</c:v>
              </c:pt>
              <c:pt idx="2">
                <c:v>Furniture</c:v>
              </c:pt>
              <c:pt idx="3">
                <c:v>Home &amp; Kitchen</c:v>
              </c:pt>
            </c:strLit>
          </c:cat>
          <c:val>
            <c:numLit>
              <c:formatCode>General</c:formatCode>
              <c:ptCount val="4"/>
              <c:pt idx="0">
                <c:v>638685</c:v>
              </c:pt>
              <c:pt idx="1">
                <c:v>4477230</c:v>
              </c:pt>
              <c:pt idx="2">
                <c:v>4173200</c:v>
              </c:pt>
              <c:pt idx="3">
                <c:v>511192.5</c:v>
              </c:pt>
            </c:numLit>
          </c:val>
          <c:extLst>
            <c:ext xmlns:c16="http://schemas.microsoft.com/office/drawing/2014/chart" uri="{C3380CC4-5D6E-409C-BE32-E72D297353CC}">
              <c16:uniqueId val="{00000000-55FE-4CE5-89AA-06EF3E0B3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6829632"/>
        <c:axId val="638330064"/>
      </c:barChart>
      <c:catAx>
        <c:axId val="64682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330064"/>
        <c:crosses val="autoZero"/>
        <c:auto val="1"/>
        <c:lblAlgn val="ctr"/>
        <c:lblOffset val="100"/>
        <c:noMultiLvlLbl val="0"/>
      </c:catAx>
      <c:valAx>
        <c:axId val="63833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82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Monthly</a:t>
            </a:r>
            <a:r>
              <a:rPr lang="en-US" sz="1600" b="1" baseline="0"/>
              <a:t> Sales Trends</a:t>
            </a:r>
            <a:r>
              <a:rPr lang="en-US" sz="1600" b="1"/>
              <a:t>l</a:t>
            </a:r>
          </a:p>
        </c:rich>
      </c:tx>
      <c:layout>
        <c:manualLayout>
          <c:xMode val="edge"/>
          <c:yMode val="edge"/>
          <c:x val="0.31624381762926451"/>
          <c:y val="9.88716493132373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2025 Jan</c:v>
              </c:pt>
              <c:pt idx="1">
                <c:v>2025 Feb</c:v>
              </c:pt>
              <c:pt idx="2">
                <c:v>2025 Mar</c:v>
              </c:pt>
              <c:pt idx="3">
                <c:v>2025 Apr</c:v>
              </c:pt>
              <c:pt idx="4">
                <c:v>2025 May</c:v>
              </c:pt>
              <c:pt idx="5">
                <c:v>2025 Jun</c:v>
              </c:pt>
              <c:pt idx="6">
                <c:v>2025 Jul</c:v>
              </c:pt>
              <c:pt idx="7">
                <c:v>2025 Aug</c:v>
              </c:pt>
              <c:pt idx="8">
                <c:v>2025 Sep</c:v>
              </c:pt>
              <c:pt idx="9">
                <c:v>2025 Oct</c:v>
              </c:pt>
              <c:pt idx="10">
                <c:v>2025 Nov</c:v>
              </c:pt>
              <c:pt idx="11">
                <c:v>2025 Dec</c:v>
              </c:pt>
            </c:strLit>
          </c:cat>
          <c:val>
            <c:numLit>
              <c:formatCode>General</c:formatCode>
              <c:ptCount val="12"/>
              <c:pt idx="0">
                <c:v>710787.5</c:v>
              </c:pt>
              <c:pt idx="1">
                <c:v>689825</c:v>
              </c:pt>
              <c:pt idx="2">
                <c:v>1018080</c:v>
              </c:pt>
              <c:pt idx="3">
                <c:v>638047.5</c:v>
              </c:pt>
              <c:pt idx="4">
                <c:v>650345</c:v>
              </c:pt>
              <c:pt idx="5">
                <c:v>554745</c:v>
              </c:pt>
              <c:pt idx="6">
                <c:v>1317427.5</c:v>
              </c:pt>
              <c:pt idx="7">
                <c:v>695315</c:v>
              </c:pt>
              <c:pt idx="8">
                <c:v>678215</c:v>
              </c:pt>
              <c:pt idx="9">
                <c:v>928157.5</c:v>
              </c:pt>
              <c:pt idx="10">
                <c:v>606377.5</c:v>
              </c:pt>
              <c:pt idx="11">
                <c:v>1312985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C80-4B9D-9FFE-87AD37745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8374464"/>
        <c:axId val="638309424"/>
      </c:lineChart>
      <c:catAx>
        <c:axId val="65837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309424"/>
        <c:crosses val="autoZero"/>
        <c:auto val="1"/>
        <c:lblAlgn val="ctr"/>
        <c:lblOffset val="100"/>
        <c:noMultiLvlLbl val="0"/>
      </c:catAx>
      <c:valAx>
        <c:axId val="63830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374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39687</xdr:colOff>
      <xdr:row>0</xdr:row>
      <xdr:rowOff>39687</xdr:rowOff>
    </xdr:from>
    <xdr:to>
      <xdr:col>7</xdr:col>
      <xdr:colOff>344487</xdr:colOff>
      <xdr:row>14</xdr:row>
      <xdr:rowOff>115887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2EE5AA-15FE-48A0-8636-1BFB0DC9D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16</xdr:col>
      <xdr:colOff>304800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BAD3BD-0CA0-496E-9361-EB1A5C03CC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7</xdr:col>
      <xdr:colOff>304800</xdr:colOff>
      <xdr:row>33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CF2117-2042-4471-93CD-0B10DEB67C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4</xdr:row>
      <xdr:rowOff>9524</xdr:rowOff>
    </xdr:from>
    <xdr:to>
      <xdr:col>5</xdr:col>
      <xdr:colOff>199909</xdr:colOff>
      <xdr:row>16</xdr:row>
      <xdr:rowOff>82314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718130-8597-4BCC-ACB3-B11EABB76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235186</xdr:colOff>
      <xdr:row>4</xdr:row>
      <xdr:rowOff>9525</xdr:rowOff>
    </xdr:from>
    <xdr:to>
      <xdr:col>11</xdr:col>
      <xdr:colOff>47037</xdr:colOff>
      <xdr:row>16</xdr:row>
      <xdr:rowOff>23520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8AC466-885A-4971-A260-9BAF08EE60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16</xdr:row>
      <xdr:rowOff>47624</xdr:rowOff>
    </xdr:from>
    <xdr:to>
      <xdr:col>10</xdr:col>
      <xdr:colOff>599722</xdr:colOff>
      <xdr:row>31</xdr:row>
      <xdr:rowOff>141111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AC2474-3FC5-4E4A-B663-9D34698AA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26.387471875001" createdVersion="8" refreshedVersion="8" minRefreshableVersion="3" recordCount="500" xr:uid="{9C638CA0-64AF-43D9-AD8F-F000708292F7}">
  <cacheSource type="worksheet">
    <worksheetSource name="sales_data_analysis_dataset"/>
  </cacheSource>
  <cacheFields count="19">
    <cacheField name="Order_ID" numFmtId="0">
      <sharedItems/>
    </cacheField>
    <cacheField name="Order_Date" numFmtId="14">
      <sharedItems containsSemiMixedTypes="0" containsNonDate="0" containsDate="1" containsString="0" minDate="2025-01-01T00:00:00" maxDate="2026-01-01T00:00:00" count="275">
        <d v="2025-03-31T00:00:00"/>
        <d v="2025-09-14T00:00:00"/>
        <d v="2025-12-28T00:00:00"/>
        <d v="2025-02-11T00:00:00"/>
        <d v="2025-10-20T00:00:00"/>
        <d v="2025-10-13T00:00:00"/>
        <d v="2025-10-12T00:00:00"/>
        <d v="2025-06-20T00:00:00"/>
        <d v="2025-05-20T00:00:00"/>
        <d v="2025-11-14T00:00:00"/>
        <d v="2025-03-19T00:00:00"/>
        <d v="2025-03-24T00:00:00"/>
        <d v="2025-02-13T00:00:00"/>
        <d v="2025-01-26T00:00:00"/>
        <d v="2025-08-24T00:00:00"/>
        <d v="2025-10-18T00:00:00"/>
        <d v="2025-06-10T00:00:00"/>
        <d v="2025-09-23T00:00:00"/>
        <d v="2025-09-16T00:00:00"/>
        <d v="2025-08-28T00:00:00"/>
        <d v="2025-02-27T00:00:00"/>
        <d v="2025-07-24T00:00:00"/>
        <d v="2025-10-06T00:00:00"/>
        <d v="2025-06-16T00:00:00"/>
        <d v="2025-03-05T00:00:00"/>
        <d v="2025-04-20T00:00:00"/>
        <d v="2025-09-25T00:00:00"/>
        <d v="2025-02-03T00:00:00"/>
        <d v="2025-08-15T00:00:00"/>
        <d v="2025-01-04T00:00:00"/>
        <d v="2025-05-05T00:00:00"/>
        <d v="2025-03-18T00:00:00"/>
        <d v="2025-05-02T00:00:00"/>
        <d v="2025-11-28T00:00:00"/>
        <d v="2025-08-05T00:00:00"/>
        <d v="2025-07-05T00:00:00"/>
        <d v="2025-10-27T00:00:00"/>
        <d v="2025-07-13T00:00:00"/>
        <d v="2025-08-31T00:00:00"/>
        <d v="2025-03-08T00:00:00"/>
        <d v="2025-02-14T00:00:00"/>
        <d v="2025-01-18T00:00:00"/>
        <d v="2025-06-29T00:00:00"/>
        <d v="2025-09-10T00:00:00"/>
        <d v="2025-04-23T00:00:00"/>
        <d v="2025-02-15T00:00:00"/>
        <d v="2025-02-17T00:00:00"/>
        <d v="2025-12-13T00:00:00"/>
        <d v="2025-02-25T00:00:00"/>
        <d v="2025-04-19T00:00:00"/>
        <d v="2025-11-13T00:00:00"/>
        <d v="2025-08-08T00:00:00"/>
        <d v="2025-07-03T00:00:00"/>
        <d v="2025-01-13T00:00:00"/>
        <d v="2025-07-12T00:00:00"/>
        <d v="2025-11-07T00:00:00"/>
        <d v="2025-08-29T00:00:00"/>
        <d v="2025-09-22T00:00:00"/>
        <d v="2025-07-01T00:00:00"/>
        <d v="2025-07-30T00:00:00"/>
        <d v="2025-05-26T00:00:00"/>
        <d v="2025-06-13T00:00:00"/>
        <d v="2025-11-03T00:00:00"/>
        <d v="2025-06-17T00:00:00"/>
        <d v="2025-09-01T00:00:00"/>
        <d v="2025-11-25T00:00:00"/>
        <d v="2025-08-19T00:00:00"/>
        <d v="2025-07-18T00:00:00"/>
        <d v="2025-09-05T00:00:00"/>
        <d v="2025-05-07T00:00:00"/>
        <d v="2025-11-06T00:00:00"/>
        <d v="2025-01-07T00:00:00"/>
        <d v="2025-11-11T00:00:00"/>
        <d v="2025-01-05T00:00:00"/>
        <d v="2025-07-15T00:00:00"/>
        <d v="2025-07-09T00:00:00"/>
        <d v="2025-12-26T00:00:00"/>
        <d v="2025-07-29T00:00:00"/>
        <d v="2025-04-03T00:00:00"/>
        <d v="2025-05-13T00:00:00"/>
        <d v="2025-07-28T00:00:00"/>
        <d v="2025-03-27T00:00:00"/>
        <d v="2025-09-28T00:00:00"/>
        <d v="2025-11-18T00:00:00"/>
        <d v="2025-04-22T00:00:00"/>
        <d v="2025-05-03T00:00:00"/>
        <d v="2025-12-07T00:00:00"/>
        <d v="2025-07-08T00:00:00"/>
        <d v="2025-12-15T00:00:00"/>
        <d v="2025-10-23T00:00:00"/>
        <d v="2025-03-07T00:00:00"/>
        <d v="2025-04-13T00:00:00"/>
        <d v="2025-03-10T00:00:00"/>
        <d v="2025-03-23T00:00:00"/>
        <d v="2025-01-17T00:00:00"/>
        <d v="2025-02-10T00:00:00"/>
        <d v="2025-01-30T00:00:00"/>
        <d v="2025-10-07T00:00:00"/>
        <d v="2025-09-26T00:00:00"/>
        <d v="2025-06-07T00:00:00"/>
        <d v="2025-07-14T00:00:00"/>
        <d v="2025-12-06T00:00:00"/>
        <d v="2025-12-14T00:00:00"/>
        <d v="2025-01-28T00:00:00"/>
        <d v="2025-08-10T00:00:00"/>
        <d v="2025-04-14T00:00:00"/>
        <d v="2025-06-11T00:00:00"/>
        <d v="2025-03-06T00:00:00"/>
        <d v="2025-12-25T00:00:00"/>
        <d v="2025-02-21T00:00:00"/>
        <d v="2025-10-28T00:00:00"/>
        <d v="2025-02-16T00:00:00"/>
        <d v="2025-11-09T00:00:00"/>
        <d v="2025-08-04T00:00:00"/>
        <d v="2025-03-11T00:00:00"/>
        <d v="2025-04-28T00:00:00"/>
        <d v="2025-12-27T00:00:00"/>
        <d v="2025-02-19T00:00:00"/>
        <d v="2025-01-02T00:00:00"/>
        <d v="2025-09-09T00:00:00"/>
        <d v="2025-05-06T00:00:00"/>
        <d v="2025-01-08T00:00:00"/>
        <d v="2025-10-10T00:00:00"/>
        <d v="2025-04-24T00:00:00"/>
        <d v="2025-10-16T00:00:00"/>
        <d v="2025-05-01T00:00:00"/>
        <d v="2025-04-15T00:00:00"/>
        <d v="2025-10-31T00:00:00"/>
        <d v="2025-01-10T00:00:00"/>
        <d v="2025-03-13T00:00:00"/>
        <d v="2025-03-20T00:00:00"/>
        <d v="2025-01-06T00:00:00"/>
        <d v="2025-03-14T00:00:00"/>
        <d v="2025-07-06T00:00:00"/>
        <d v="2025-12-04T00:00:00"/>
        <d v="2025-10-21T00:00:00"/>
        <d v="2025-05-17T00:00:00"/>
        <d v="2025-09-20T00:00:00"/>
        <d v="2025-10-09T00:00:00"/>
        <d v="2025-01-19T00:00:00"/>
        <d v="2025-11-01T00:00:00"/>
        <d v="2025-03-25T00:00:00"/>
        <d v="2025-06-03T00:00:00"/>
        <d v="2025-10-01T00:00:00"/>
        <d v="2025-06-02T00:00:00"/>
        <d v="2025-12-31T00:00:00"/>
        <d v="2025-11-26T00:00:00"/>
        <d v="2025-08-11T00:00:00"/>
        <d v="2025-11-10T00:00:00"/>
        <d v="2025-07-21T00:00:00"/>
        <d v="2025-03-21T00:00:00"/>
        <d v="2025-04-11T00:00:00"/>
        <d v="2025-05-30T00:00:00"/>
        <d v="2025-11-23T00:00:00"/>
        <d v="2025-04-01T00:00:00"/>
        <d v="2025-04-09T00:00:00"/>
        <d v="2025-01-23T00:00:00"/>
        <d v="2025-02-18T00:00:00"/>
        <d v="2025-04-06T00:00:00"/>
        <d v="2025-02-06T00:00:00"/>
        <d v="2025-07-04T00:00:00"/>
        <d v="2025-04-29T00:00:00"/>
        <d v="2025-04-26T00:00:00"/>
        <d v="2025-09-07T00:00:00"/>
        <d v="2025-12-21T00:00:00"/>
        <d v="2025-11-21T00:00:00"/>
        <d v="2025-04-04T00:00:00"/>
        <d v="2025-11-15T00:00:00"/>
        <d v="2025-10-26T00:00:00"/>
        <d v="2025-12-29T00:00:00"/>
        <d v="2025-07-27T00:00:00"/>
        <d v="2025-08-09T00:00:00"/>
        <d v="2025-10-29T00:00:00"/>
        <d v="2025-10-17T00:00:00"/>
        <d v="2025-12-16T00:00:00"/>
        <d v="2025-09-21T00:00:00"/>
        <d v="2025-06-12T00:00:00"/>
        <d v="2025-06-04T00:00:00"/>
        <d v="2025-09-11T00:00:00"/>
        <d v="2025-02-23T00:00:00"/>
        <d v="2025-08-02T00:00:00"/>
        <d v="2025-01-20T00:00:00"/>
        <d v="2025-01-24T00:00:00"/>
        <d v="2025-06-21T00:00:00"/>
        <d v="2025-08-26T00:00:00"/>
        <d v="2025-05-28T00:00:00"/>
        <d v="2025-09-02T00:00:00"/>
        <d v="2025-09-04T00:00:00"/>
        <d v="2025-10-19T00:00:00"/>
        <d v="2025-03-30T00:00:00"/>
        <d v="2025-01-01T00:00:00"/>
        <d v="2025-03-02T00:00:00"/>
        <d v="2025-04-27T00:00:00"/>
        <d v="2025-12-20T00:00:00"/>
        <d v="2025-03-04T00:00:00"/>
        <d v="2025-06-01T00:00:00"/>
        <d v="2025-05-12T00:00:00"/>
        <d v="2025-02-24T00:00:00"/>
        <d v="2025-02-08T00:00:00"/>
        <d v="2025-12-12T00:00:00"/>
        <d v="2025-01-11T00:00:00"/>
        <d v="2025-12-30T00:00:00"/>
        <d v="2025-02-12T00:00:00"/>
        <d v="2025-02-07T00:00:00"/>
        <d v="2025-03-22T00:00:00"/>
        <d v="2025-11-24T00:00:00"/>
        <d v="2025-10-05T00:00:00"/>
        <d v="2025-11-12T00:00:00"/>
        <d v="2025-03-29T00:00:00"/>
        <d v="2025-07-11T00:00:00"/>
        <d v="2025-07-23T00:00:00"/>
        <d v="2025-08-21T00:00:00"/>
        <d v="2025-11-22T00:00:00"/>
        <d v="2025-10-11T00:00:00"/>
        <d v="2025-08-23T00:00:00"/>
        <d v="2025-05-10T00:00:00"/>
        <d v="2025-11-19T00:00:00"/>
        <d v="2025-05-15T00:00:00"/>
        <d v="2025-05-23T00:00:00"/>
        <d v="2025-09-13T00:00:00"/>
        <d v="2025-09-29T00:00:00"/>
        <d v="2025-06-06T00:00:00"/>
        <d v="2025-12-05T00:00:00"/>
        <d v="2025-09-27T00:00:00"/>
        <d v="2025-07-22T00:00:00"/>
        <d v="2025-06-15T00:00:00"/>
        <d v="2025-10-30T00:00:00"/>
        <d v="2025-08-22T00:00:00"/>
        <d v="2025-11-20T00:00:00"/>
        <d v="2025-05-21T00:00:00"/>
        <d v="2025-02-22T00:00:00"/>
        <d v="2025-02-20T00:00:00"/>
        <d v="2025-06-22T00:00:00"/>
        <d v="2025-07-07T00:00:00"/>
        <d v="2025-12-18T00:00:00"/>
        <d v="2025-12-11T00:00:00"/>
        <d v="2025-09-15T00:00:00"/>
        <d v="2025-07-20T00:00:00"/>
        <d v="2025-08-18T00:00:00"/>
        <d v="2025-06-30T00:00:00"/>
        <d v="2025-09-08T00:00:00"/>
        <d v="2025-04-25T00:00:00"/>
        <d v="2025-07-26T00:00:00"/>
        <d v="2025-12-17T00:00:00"/>
        <d v="2025-08-16T00:00:00"/>
        <d v="2025-05-08T00:00:00"/>
        <d v="2025-12-08T00:00:00"/>
        <d v="2025-04-21T00:00:00"/>
        <d v="2025-05-25T00:00:00"/>
        <d v="2025-07-02T00:00:00"/>
        <d v="2025-10-08T00:00:00"/>
        <d v="2025-06-25T00:00:00"/>
        <d v="2025-11-04T00:00:00"/>
        <d v="2025-03-26T00:00:00"/>
        <d v="2025-01-21T00:00:00"/>
        <d v="2025-09-30T00:00:00"/>
        <d v="2025-10-22T00:00:00"/>
        <d v="2025-03-17T00:00:00"/>
        <d v="2025-06-14T00:00:00"/>
        <d v="2025-12-24T00:00:00"/>
        <d v="2025-04-08T00:00:00"/>
        <d v="2025-02-01T00:00:00"/>
        <d v="2025-11-30T00:00:00"/>
        <d v="2025-10-25T00:00:00"/>
        <d v="2025-11-16T00:00:00"/>
        <d v="2025-01-09T00:00:00"/>
        <d v="2025-05-16T00:00:00"/>
        <d v="2025-01-15T00:00:00"/>
        <d v="2025-08-13T00:00:00"/>
        <d v="2025-11-29T00:00:00"/>
        <d v="2025-03-12T00:00:00"/>
        <d v="2025-10-14T00:00:00"/>
        <d v="2025-06-28T00:00:00"/>
        <d v="2025-06-18T00:00:00"/>
        <d v="2025-08-06T00:00:00"/>
      </sharedItems>
      <fieldGroup par="18"/>
    </cacheField>
    <cacheField name="Customer_ID" numFmtId="0">
      <sharedItems/>
    </cacheField>
    <cacheField name="Customer_Name" numFmtId="0">
      <sharedItems/>
    </cacheField>
    <cacheField name="City" numFmtId="0">
      <sharedItems/>
    </cacheField>
    <cacheField name="Region" numFmtId="0">
      <sharedItems count="4">
        <s v="North"/>
        <s v="South"/>
        <s v="East"/>
        <s v="West"/>
      </sharedItems>
    </cacheField>
    <cacheField name="Category" numFmtId="0">
      <sharedItems count="4">
        <s v="Home &amp; Kitchen"/>
        <s v="Furniture"/>
        <s v="Electronics"/>
        <s v="Clothing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350" maxValue="52000"/>
    </cacheField>
    <cacheField name="Discount_Percent" numFmtId="0">
      <sharedItems containsSemiMixedTypes="0" containsString="0" containsNumber="1" minValue="0" maxValue="0.15"/>
    </cacheField>
    <cacheField name="Unit_Cost" numFmtId="0">
      <sharedItems containsSemiMixedTypes="0" containsString="0" containsNumber="1" containsInteger="1" minValue="100" maxValue="9000"/>
    </cacheField>
    <cacheField name="Segment" numFmtId="0">
      <sharedItems/>
    </cacheField>
    <cacheField name="Sales" numFmtId="0">
      <sharedItems containsSemiMixedTypes="0" containsString="0" containsNumber="1" minValue="297.5" maxValue="260000"/>
    </cacheField>
    <cacheField name="Profit" numFmtId="0">
      <sharedItems containsSemiMixedTypes="0" containsString="0" containsNumber="1" minValue="197.5" maxValue="215000"/>
    </cacheField>
    <cacheField name="Total sales" numFmtId="0">
      <sharedItems containsSemiMixedTypes="0" containsString="0" containsNumber="1" minValue="49400" maxValue="9800307.5"/>
    </cacheField>
    <cacheField name="Total profit" numFmtId="0">
      <sharedItems containsSemiMixedTypes="0" containsString="0" containsNumber="1" minValue="40400" maxValue="7532097.5"/>
    </cacheField>
    <cacheField name="Months (Order_Date)" numFmtId="0" databaseField="0">
      <fieldGroup base="1">
        <rangePr groupBy="months" startDate="2025-01-01T00:00:00" endDate="2026-01-0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  <cacheField name="Years (Order_Date)" numFmtId="0" databaseField="0">
      <fieldGroup base="1">
        <rangePr groupBy="years" startDate="2025-01-01T00:00:00" endDate="2026-01-01T00:00:00"/>
        <groupItems count="4">
          <s v="&lt;01-01-2025"/>
          <s v="2025"/>
          <s v="2026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SO0001"/>
    <x v="0"/>
    <s v="C0139"/>
    <s v="Customer 170"/>
    <s v="Delhi"/>
    <x v="0"/>
    <x v="0"/>
    <s v="Bedsheet"/>
    <n v="3"/>
    <n v="1200"/>
    <n v="0.05"/>
    <n v="350"/>
    <s v="Consumer"/>
    <n v="3420"/>
    <n v="2370"/>
    <n v="9800307.5"/>
    <n v="7532097.5"/>
  </r>
  <r>
    <s v="SO0002"/>
    <x v="1"/>
    <s v="C0082"/>
    <s v="Customer 164"/>
    <s v="Kolkata"/>
    <x v="1"/>
    <x v="1"/>
    <s v="Sofa"/>
    <n v="4"/>
    <n v="22000"/>
    <n v="0.05"/>
    <n v="5000"/>
    <s v="Home Office"/>
    <n v="83600"/>
    <n v="63600"/>
    <n v="9796887.5"/>
    <n v="7529727.5"/>
  </r>
  <r>
    <s v="SO0003"/>
    <x v="2"/>
    <s v="C0137"/>
    <s v="Customer 144"/>
    <s v="Mumbai"/>
    <x v="2"/>
    <x v="2"/>
    <s v="Smartphone"/>
    <n v="2"/>
    <n v="18000"/>
    <n v="0"/>
    <n v="3000"/>
    <s v="Home Office"/>
    <n v="36000"/>
    <n v="30000"/>
    <n v="9713287.5"/>
    <n v="7466127.5"/>
  </r>
  <r>
    <s v="SO0004"/>
    <x v="3"/>
    <s v="C0130"/>
    <s v="Customer 122"/>
    <s v="Chennai"/>
    <x v="3"/>
    <x v="2"/>
    <s v="Laptop"/>
    <n v="3"/>
    <n v="52000"/>
    <n v="0.1"/>
    <n v="9000"/>
    <s v="Home Office"/>
    <n v="140400"/>
    <n v="113400"/>
    <n v="9677287.5"/>
    <n v="7436127.5"/>
  </r>
  <r>
    <s v="SO0005"/>
    <x v="4"/>
    <s v="C0014"/>
    <s v="Customer 091"/>
    <s v="Hyderabad"/>
    <x v="3"/>
    <x v="3"/>
    <s v="T-Shirt"/>
    <n v="4"/>
    <n v="550"/>
    <n v="0.05"/>
    <n v="180"/>
    <s v="Corporate"/>
    <n v="2090"/>
    <n v="1370"/>
    <n v="9536887.5"/>
    <n v="7322727.5"/>
  </r>
  <r>
    <s v="SO0006"/>
    <x v="5"/>
    <s v="C0055"/>
    <s v="Customer 064"/>
    <s v="Pune"/>
    <x v="0"/>
    <x v="2"/>
    <s v="Keyboard"/>
    <n v="2"/>
    <n v="950"/>
    <n v="0"/>
    <n v="300"/>
    <s v="Corporate"/>
    <n v="1900"/>
    <n v="1300"/>
    <n v="9534797.5"/>
    <n v="7321357.5"/>
  </r>
  <r>
    <s v="SO0007"/>
    <x v="6"/>
    <s v="C0137"/>
    <s v="Customer 142"/>
    <s v="Chennai"/>
    <x v="2"/>
    <x v="2"/>
    <s v="Headphones"/>
    <n v="2"/>
    <n v="1800"/>
    <n v="0.15"/>
    <n v="650"/>
    <s v="Home Office"/>
    <n v="3060"/>
    <n v="1760"/>
    <n v="9532897.5"/>
    <n v="7320057.5"/>
  </r>
  <r>
    <s v="SO0008"/>
    <x v="7"/>
    <s v="C0025"/>
    <s v="Customer 148"/>
    <s v="Delhi"/>
    <x v="2"/>
    <x v="3"/>
    <s v="Sneakers"/>
    <n v="3"/>
    <n v="2600"/>
    <n v="0"/>
    <n v="800"/>
    <s v="Consumer"/>
    <n v="7800"/>
    <n v="5400"/>
    <n v="9529837.5"/>
    <n v="7318297.5"/>
  </r>
  <r>
    <s v="SO0009"/>
    <x v="8"/>
    <s v="C0122"/>
    <s v="Customer 163"/>
    <s v="Hyderabad"/>
    <x v="1"/>
    <x v="2"/>
    <s v="Headphones"/>
    <n v="1"/>
    <n v="1800"/>
    <n v="0.1"/>
    <n v="650"/>
    <s v="Corporate"/>
    <n v="1620"/>
    <n v="970"/>
    <n v="9522037.5"/>
    <n v="7312897.5"/>
  </r>
  <r>
    <s v="SO0010"/>
    <x v="9"/>
    <s v="C0145"/>
    <s v="Customer 135"/>
    <s v="Chennai"/>
    <x v="3"/>
    <x v="3"/>
    <s v="T-Shirt"/>
    <n v="4"/>
    <n v="550"/>
    <n v="0"/>
    <n v="180"/>
    <s v="Corporate"/>
    <n v="2200"/>
    <n v="1480"/>
    <n v="9520417.5"/>
    <n v="7311927.5"/>
  </r>
  <r>
    <s v="SO0011"/>
    <x v="10"/>
    <s v="C0174"/>
    <s v="Customer 029"/>
    <s v="Mumbai"/>
    <x v="0"/>
    <x v="0"/>
    <s v="Cookware Set"/>
    <n v="2"/>
    <n v="2400"/>
    <n v="0.05"/>
    <n v="650"/>
    <s v="Home Office"/>
    <n v="4560"/>
    <n v="3260"/>
    <n v="9518217.5"/>
    <n v="7310447.5"/>
  </r>
  <r>
    <s v="SO0012"/>
    <x v="11"/>
    <s v="C0108"/>
    <s v="Customer 024"/>
    <s v="Delhi"/>
    <x v="2"/>
    <x v="3"/>
    <s v="Sneakers"/>
    <n v="3"/>
    <n v="2600"/>
    <n v="0"/>
    <n v="800"/>
    <s v="Home Office"/>
    <n v="7800"/>
    <n v="5400"/>
    <n v="9513657.5"/>
    <n v="7307187.5"/>
  </r>
  <r>
    <s v="SO0013"/>
    <x v="12"/>
    <s v="C0140"/>
    <s v="Customer 163"/>
    <s v="Mumbai"/>
    <x v="1"/>
    <x v="0"/>
    <s v="Table Lamp"/>
    <n v="1"/>
    <n v="850"/>
    <n v="0.15"/>
    <n v="250"/>
    <s v="Home Office"/>
    <n v="722.5"/>
    <n v="472.5"/>
    <n v="9505857.5"/>
    <n v="7301787.5"/>
  </r>
  <r>
    <s v="SO0014"/>
    <x v="13"/>
    <s v="C0125"/>
    <s v="Customer 151"/>
    <s v="Kolkata"/>
    <x v="3"/>
    <x v="3"/>
    <s v="Handbag"/>
    <n v="2"/>
    <n v="1900"/>
    <n v="0.05"/>
    <n v="600"/>
    <s v="Consumer"/>
    <n v="3610"/>
    <n v="2410"/>
    <n v="9505135"/>
    <n v="7301315"/>
  </r>
  <r>
    <s v="SO0015"/>
    <x v="14"/>
    <s v="C0056"/>
    <s v="Customer 059"/>
    <s v="Jaipur"/>
    <x v="2"/>
    <x v="0"/>
    <s v="Water Bottle"/>
    <n v="4"/>
    <n v="350"/>
    <n v="0"/>
    <n v="100"/>
    <s v="Consumer"/>
    <n v="1400"/>
    <n v="1000"/>
    <n v="9501525"/>
    <n v="7298905"/>
  </r>
  <r>
    <s v="SO0016"/>
    <x v="15"/>
    <s v="C0133"/>
    <s v="Customer 109"/>
    <s v="Hyderabad"/>
    <x v="2"/>
    <x v="3"/>
    <s v="Handbag"/>
    <n v="1"/>
    <n v="1900"/>
    <n v="0.15"/>
    <n v="600"/>
    <s v="Home Office"/>
    <n v="1615"/>
    <n v="1015"/>
    <n v="9500125"/>
    <n v="7297905"/>
  </r>
  <r>
    <s v="SO0017"/>
    <x v="16"/>
    <s v="C0095"/>
    <s v="Customer 045"/>
    <s v="Mumbai"/>
    <x v="2"/>
    <x v="1"/>
    <s v="Dining Table"/>
    <n v="2"/>
    <n v="15000"/>
    <n v="0.15"/>
    <n v="3500"/>
    <s v="Corporate"/>
    <n v="25500"/>
    <n v="18500"/>
    <n v="9498510"/>
    <n v="7296890"/>
  </r>
  <r>
    <s v="SO0018"/>
    <x v="17"/>
    <s v="C0028"/>
    <s v="Customer 134"/>
    <s v="Hyderabad"/>
    <x v="1"/>
    <x v="3"/>
    <s v="Jacket"/>
    <n v="5"/>
    <n v="3200"/>
    <n v="0"/>
    <n v="950"/>
    <s v="Home Office"/>
    <n v="16000"/>
    <n v="11250"/>
    <n v="9473010"/>
    <n v="7278390"/>
  </r>
  <r>
    <s v="SO0019"/>
    <x v="18"/>
    <s v="C0036"/>
    <s v="Customer 138"/>
    <s v="Jaipur"/>
    <x v="3"/>
    <x v="1"/>
    <s v="Sofa"/>
    <n v="4"/>
    <n v="22000"/>
    <n v="0.1"/>
    <n v="5000"/>
    <s v="Consumer"/>
    <n v="79200"/>
    <n v="59200"/>
    <n v="9457010"/>
    <n v="7267140"/>
  </r>
  <r>
    <s v="SO0020"/>
    <x v="19"/>
    <s v="C0087"/>
    <s v="Customer 085"/>
    <s v="Mumbai"/>
    <x v="0"/>
    <x v="3"/>
    <s v="Sneakers"/>
    <n v="2"/>
    <n v="2600"/>
    <n v="0"/>
    <n v="800"/>
    <s v="Corporate"/>
    <n v="5200"/>
    <n v="3600"/>
    <n v="9377810"/>
    <n v="7207940"/>
  </r>
  <r>
    <s v="SO0021"/>
    <x v="20"/>
    <s v="C0121"/>
    <s v="Customer 078"/>
    <s v="Mumbai"/>
    <x v="0"/>
    <x v="2"/>
    <s v="Wireless Mouse"/>
    <n v="1"/>
    <n v="650"/>
    <n v="0"/>
    <n v="200"/>
    <s v="Consumer"/>
    <n v="650"/>
    <n v="450"/>
    <n v="9372610"/>
    <n v="7204340"/>
  </r>
  <r>
    <s v="SO0022"/>
    <x v="21"/>
    <s v="C0032"/>
    <s v="Customer 110"/>
    <s v="Hyderabad"/>
    <x v="0"/>
    <x v="0"/>
    <s v="Water Bottle"/>
    <n v="2"/>
    <n v="350"/>
    <n v="0"/>
    <n v="100"/>
    <s v="Consumer"/>
    <n v="700"/>
    <n v="500"/>
    <n v="9371960"/>
    <n v="7203890"/>
  </r>
  <r>
    <s v="SO0023"/>
    <x v="22"/>
    <s v="C0149"/>
    <s v="Customer 107"/>
    <s v="Kolkata"/>
    <x v="0"/>
    <x v="3"/>
    <s v="Sneakers"/>
    <n v="3"/>
    <n v="2600"/>
    <n v="0.05"/>
    <n v="800"/>
    <s v="Home Office"/>
    <n v="7410"/>
    <n v="5010"/>
    <n v="9371260"/>
    <n v="7203390"/>
  </r>
  <r>
    <s v="SO0024"/>
    <x v="23"/>
    <s v="C0083"/>
    <s v="Customer 031"/>
    <s v="Pune"/>
    <x v="1"/>
    <x v="3"/>
    <s v="T-Shirt"/>
    <n v="1"/>
    <n v="550"/>
    <n v="0.05"/>
    <n v="180"/>
    <s v="Home Office"/>
    <n v="522.5"/>
    <n v="342.5"/>
    <n v="9363850"/>
    <n v="7198380"/>
  </r>
  <r>
    <s v="SO0025"/>
    <x v="24"/>
    <s v="C0066"/>
    <s v="Customer 064"/>
    <s v="Bengaluru"/>
    <x v="3"/>
    <x v="1"/>
    <s v="Sofa"/>
    <n v="3"/>
    <n v="22000"/>
    <n v="0.1"/>
    <n v="5000"/>
    <s v="Corporate"/>
    <n v="59400"/>
    <n v="44400"/>
    <n v="9363327.5"/>
    <n v="7198037.5"/>
  </r>
  <r>
    <s v="SO0026"/>
    <x v="25"/>
    <s v="C0130"/>
    <s v="Customer 147"/>
    <s v="Chennai"/>
    <x v="2"/>
    <x v="1"/>
    <s v="Sofa"/>
    <n v="3"/>
    <n v="22000"/>
    <n v="0"/>
    <n v="5000"/>
    <s v="Consumer"/>
    <n v="66000"/>
    <n v="51000"/>
    <n v="9303927.5"/>
    <n v="7153637.5"/>
  </r>
  <r>
    <s v="SO0027"/>
    <x v="26"/>
    <s v="C0155"/>
    <s v="Customer 040"/>
    <s v="Chennai"/>
    <x v="1"/>
    <x v="0"/>
    <s v="Table Lamp"/>
    <n v="5"/>
    <n v="850"/>
    <n v="0.1"/>
    <n v="250"/>
    <s v="Home Office"/>
    <n v="3825"/>
    <n v="2575"/>
    <n v="9237927.5"/>
    <n v="7102637.5"/>
  </r>
  <r>
    <s v="SO0028"/>
    <x v="27"/>
    <s v="C0158"/>
    <s v="Customer 061"/>
    <s v="Chennai"/>
    <x v="1"/>
    <x v="3"/>
    <s v="Jacket"/>
    <n v="3"/>
    <n v="3200"/>
    <n v="0.1"/>
    <n v="950"/>
    <s v="Consumer"/>
    <n v="8640"/>
    <n v="5790"/>
    <n v="9234102.5"/>
    <n v="7100062.5"/>
  </r>
  <r>
    <s v="SO0029"/>
    <x v="28"/>
    <s v="C0129"/>
    <s v="Customer 033"/>
    <s v="Delhi"/>
    <x v="1"/>
    <x v="0"/>
    <s v="Water Bottle"/>
    <n v="3"/>
    <n v="350"/>
    <n v="0.15"/>
    <n v="100"/>
    <s v="Corporate"/>
    <n v="892.5"/>
    <n v="592.5"/>
    <n v="9225462.5"/>
    <n v="7094272.5"/>
  </r>
  <r>
    <s v="SO0030"/>
    <x v="29"/>
    <s v="C0163"/>
    <s v="Customer 032"/>
    <s v="Pune"/>
    <x v="3"/>
    <x v="3"/>
    <s v="Handbag"/>
    <n v="2"/>
    <n v="1900"/>
    <n v="0.05"/>
    <n v="600"/>
    <s v="Consumer"/>
    <n v="3610"/>
    <n v="2410"/>
    <n v="9224570"/>
    <n v="7093680"/>
  </r>
  <r>
    <s v="SO0031"/>
    <x v="30"/>
    <s v="C0044"/>
    <s v="Customer 019"/>
    <s v="Delhi"/>
    <x v="0"/>
    <x v="0"/>
    <s v="Mixer Grinder"/>
    <n v="5"/>
    <n v="2800"/>
    <n v="0.1"/>
    <n v="750"/>
    <s v="Corporate"/>
    <n v="12600"/>
    <n v="8850"/>
    <n v="9220960"/>
    <n v="7091270"/>
  </r>
  <r>
    <s v="SO0032"/>
    <x v="31"/>
    <s v="C0069"/>
    <s v="Customer 079"/>
    <s v="Kolkata"/>
    <x v="2"/>
    <x v="3"/>
    <s v="Jacket"/>
    <n v="3"/>
    <n v="3200"/>
    <n v="0"/>
    <n v="950"/>
    <s v="Home Office"/>
    <n v="9600"/>
    <n v="6750"/>
    <n v="9208360"/>
    <n v="7082420"/>
  </r>
  <r>
    <s v="SO0033"/>
    <x v="32"/>
    <s v="C0056"/>
    <s v="Customer 055"/>
    <s v="Pune"/>
    <x v="3"/>
    <x v="1"/>
    <s v="Sofa"/>
    <n v="1"/>
    <n v="22000"/>
    <n v="0.05"/>
    <n v="5000"/>
    <s v="Corporate"/>
    <n v="20900"/>
    <n v="15900"/>
    <n v="9198760"/>
    <n v="7075670"/>
  </r>
  <r>
    <s v="SO0034"/>
    <x v="33"/>
    <s v="C0053"/>
    <s v="Customer 081"/>
    <s v="Hyderabad"/>
    <x v="0"/>
    <x v="3"/>
    <s v="T-Shirt"/>
    <n v="3"/>
    <n v="550"/>
    <n v="0.1"/>
    <n v="180"/>
    <s v="Home Office"/>
    <n v="1485"/>
    <n v="945"/>
    <n v="9177860"/>
    <n v="7059770"/>
  </r>
  <r>
    <s v="SO0035"/>
    <x v="34"/>
    <s v="C0157"/>
    <s v="Customer 067"/>
    <s v="Delhi"/>
    <x v="3"/>
    <x v="2"/>
    <s v="Headphones"/>
    <n v="4"/>
    <n v="1800"/>
    <n v="0.1"/>
    <n v="650"/>
    <s v="Consumer"/>
    <n v="6480"/>
    <n v="3880"/>
    <n v="9176375"/>
    <n v="7058825"/>
  </r>
  <r>
    <s v="SO0036"/>
    <x v="35"/>
    <s v="C0051"/>
    <s v="Customer 059"/>
    <s v="Kolkata"/>
    <x v="0"/>
    <x v="0"/>
    <s v="Cookware Set"/>
    <n v="2"/>
    <n v="2400"/>
    <n v="0"/>
    <n v="650"/>
    <s v="Corporate"/>
    <n v="4800"/>
    <n v="3500"/>
    <n v="9169895"/>
    <n v="7054945"/>
  </r>
  <r>
    <s v="SO0037"/>
    <x v="36"/>
    <s v="C0124"/>
    <s v="Customer 114"/>
    <s v="Bengaluru"/>
    <x v="1"/>
    <x v="1"/>
    <s v="Bookshelf"/>
    <n v="5"/>
    <n v="4200"/>
    <n v="0"/>
    <n v="1000"/>
    <s v="Consumer"/>
    <n v="21000"/>
    <n v="16000"/>
    <n v="9165095"/>
    <n v="7051445"/>
  </r>
  <r>
    <s v="SO0038"/>
    <x v="37"/>
    <s v="C0125"/>
    <s v="Customer 086"/>
    <s v="Mumbai"/>
    <x v="2"/>
    <x v="0"/>
    <s v="Table Lamp"/>
    <n v="2"/>
    <n v="850"/>
    <n v="0.1"/>
    <n v="250"/>
    <s v="Corporate"/>
    <n v="1530"/>
    <n v="1030"/>
    <n v="9144095"/>
    <n v="7035445"/>
  </r>
  <r>
    <s v="SO0039"/>
    <x v="38"/>
    <s v="C0026"/>
    <s v="Customer 105"/>
    <s v="Jaipur"/>
    <x v="0"/>
    <x v="1"/>
    <s v="Study Table"/>
    <n v="4"/>
    <n v="8500"/>
    <n v="0"/>
    <n v="2100"/>
    <s v="Consumer"/>
    <n v="34000"/>
    <n v="25600"/>
    <n v="9142565"/>
    <n v="7034415"/>
  </r>
  <r>
    <s v="SO0040"/>
    <x v="39"/>
    <s v="C0051"/>
    <s v="Customer 041"/>
    <s v="Delhi"/>
    <x v="1"/>
    <x v="0"/>
    <s v="Mixer Grinder"/>
    <n v="3"/>
    <n v="2800"/>
    <n v="0.1"/>
    <n v="750"/>
    <s v="Consumer"/>
    <n v="7560"/>
    <n v="5310"/>
    <n v="9108565"/>
    <n v="7008815"/>
  </r>
  <r>
    <s v="SO0041"/>
    <x v="40"/>
    <s v="C0076"/>
    <s v="Customer 157"/>
    <s v="Delhi"/>
    <x v="2"/>
    <x v="2"/>
    <s v="Headphones"/>
    <n v="4"/>
    <n v="1800"/>
    <n v="0"/>
    <n v="650"/>
    <s v="Home Office"/>
    <n v="7200"/>
    <n v="4600"/>
    <n v="9101005"/>
    <n v="7003505"/>
  </r>
  <r>
    <s v="SO0042"/>
    <x v="41"/>
    <s v="C0166"/>
    <s v="Customer 008"/>
    <s v="Delhi"/>
    <x v="0"/>
    <x v="0"/>
    <s v="Water Bottle"/>
    <n v="3"/>
    <n v="350"/>
    <n v="0.15"/>
    <n v="100"/>
    <s v="Home Office"/>
    <n v="892.5"/>
    <n v="592.5"/>
    <n v="9093805"/>
    <n v="6998905"/>
  </r>
  <r>
    <s v="SO0043"/>
    <x v="42"/>
    <s v="C0124"/>
    <s v="Customer 055"/>
    <s v="Bengaluru"/>
    <x v="0"/>
    <x v="2"/>
    <s v="Headphones"/>
    <n v="3"/>
    <n v="1800"/>
    <n v="0.15"/>
    <n v="650"/>
    <s v="Corporate"/>
    <n v="4590"/>
    <n v="2640"/>
    <n v="9092912.5"/>
    <n v="6998312.5"/>
  </r>
  <r>
    <s v="SO0044"/>
    <x v="43"/>
    <s v="C0094"/>
    <s v="Customer 057"/>
    <s v="Hyderabad"/>
    <x v="0"/>
    <x v="3"/>
    <s v="Jacket"/>
    <n v="4"/>
    <n v="3200"/>
    <n v="0.05"/>
    <n v="950"/>
    <s v="Corporate"/>
    <n v="12160"/>
    <n v="8360"/>
    <n v="9088322.5"/>
    <n v="6995672.5"/>
  </r>
  <r>
    <s v="SO0045"/>
    <x v="5"/>
    <s v="C0021"/>
    <s v="Customer 011"/>
    <s v="Kolkata"/>
    <x v="0"/>
    <x v="1"/>
    <s v="Sofa"/>
    <n v="1"/>
    <n v="22000"/>
    <n v="0.15"/>
    <n v="5000"/>
    <s v="Home Office"/>
    <n v="18700"/>
    <n v="13700"/>
    <n v="9076162.5"/>
    <n v="6987312.5"/>
  </r>
  <r>
    <s v="SO0046"/>
    <x v="28"/>
    <s v="C0013"/>
    <s v="Customer 174"/>
    <s v="Delhi"/>
    <x v="0"/>
    <x v="0"/>
    <s v="Cookware Set"/>
    <n v="2"/>
    <n v="2400"/>
    <n v="0.15"/>
    <n v="650"/>
    <s v="Home Office"/>
    <n v="4080"/>
    <n v="2780"/>
    <n v="9057462.5"/>
    <n v="6973612.5"/>
  </r>
  <r>
    <s v="SO0047"/>
    <x v="44"/>
    <s v="C0080"/>
    <s v="Customer 165"/>
    <s v="Delhi"/>
    <x v="2"/>
    <x v="2"/>
    <s v="Laptop"/>
    <n v="2"/>
    <n v="52000"/>
    <n v="0.1"/>
    <n v="9000"/>
    <s v="Home Office"/>
    <n v="93600"/>
    <n v="75600"/>
    <n v="9053382.5"/>
    <n v="6970832.5"/>
  </r>
  <r>
    <s v="SO0048"/>
    <x v="45"/>
    <s v="C0099"/>
    <s v="Customer 001"/>
    <s v="Jaipur"/>
    <x v="0"/>
    <x v="3"/>
    <s v="Handbag"/>
    <n v="1"/>
    <n v="1900"/>
    <n v="0.1"/>
    <n v="600"/>
    <s v="Corporate"/>
    <n v="1710"/>
    <n v="1110"/>
    <n v="8959782.5"/>
    <n v="6895232.5"/>
  </r>
  <r>
    <s v="SO0049"/>
    <x v="46"/>
    <s v="C0137"/>
    <s v="Customer 166"/>
    <s v="Jaipur"/>
    <x v="2"/>
    <x v="3"/>
    <s v="Jacket"/>
    <n v="1"/>
    <n v="3200"/>
    <n v="0.1"/>
    <n v="950"/>
    <s v="Home Office"/>
    <n v="2880"/>
    <n v="1930"/>
    <n v="8958072.5"/>
    <n v="6894122.5"/>
  </r>
  <r>
    <s v="SO0050"/>
    <x v="47"/>
    <s v="C0083"/>
    <s v="Customer 175"/>
    <s v="Hyderabad"/>
    <x v="1"/>
    <x v="2"/>
    <s v="Wireless Mouse"/>
    <n v="2"/>
    <n v="650"/>
    <n v="0"/>
    <n v="200"/>
    <s v="Home Office"/>
    <n v="1300"/>
    <n v="900"/>
    <n v="8955192.5"/>
    <n v="6892192.5"/>
  </r>
  <r>
    <s v="SO0051"/>
    <x v="48"/>
    <s v="C0098"/>
    <s v="Customer 015"/>
    <s v="Jaipur"/>
    <x v="3"/>
    <x v="1"/>
    <s v="Bookshelf"/>
    <n v="4"/>
    <n v="4200"/>
    <n v="0"/>
    <n v="1000"/>
    <s v="Corporate"/>
    <n v="16800"/>
    <n v="12800"/>
    <n v="8953892.5"/>
    <n v="6891292.5"/>
  </r>
  <r>
    <s v="SO0052"/>
    <x v="1"/>
    <s v="C0104"/>
    <s v="Customer 155"/>
    <s v="Chennai"/>
    <x v="1"/>
    <x v="3"/>
    <s v="Handbag"/>
    <n v="2"/>
    <n v="1900"/>
    <n v="0.15"/>
    <n v="600"/>
    <s v="Corporate"/>
    <n v="3230"/>
    <n v="2030"/>
    <n v="8937092.5"/>
    <n v="6878492.5"/>
  </r>
  <r>
    <s v="SO0053"/>
    <x v="49"/>
    <s v="C0159"/>
    <s v="Customer 026"/>
    <s v="Mumbai"/>
    <x v="3"/>
    <x v="1"/>
    <s v="Bookshelf"/>
    <n v="4"/>
    <n v="4200"/>
    <n v="0.05"/>
    <n v="1000"/>
    <s v="Consumer"/>
    <n v="15960"/>
    <n v="11960"/>
    <n v="8933862.5"/>
    <n v="6876462.5"/>
  </r>
  <r>
    <s v="SO0054"/>
    <x v="50"/>
    <s v="C0014"/>
    <s v="Customer 051"/>
    <s v="Bengaluru"/>
    <x v="1"/>
    <x v="0"/>
    <s v="Table Lamp"/>
    <n v="3"/>
    <n v="850"/>
    <n v="0.1"/>
    <n v="250"/>
    <s v="Consumer"/>
    <n v="2295"/>
    <n v="1545"/>
    <n v="8917902.5"/>
    <n v="6864502.5"/>
  </r>
  <r>
    <s v="SO0055"/>
    <x v="51"/>
    <s v="C0099"/>
    <s v="Customer 012"/>
    <s v="Hyderabad"/>
    <x v="0"/>
    <x v="3"/>
    <s v="T-Shirt"/>
    <n v="3"/>
    <n v="550"/>
    <n v="0.05"/>
    <n v="180"/>
    <s v="Home Office"/>
    <n v="1567.5"/>
    <n v="1027.5"/>
    <n v="8915607.5"/>
    <n v="6862957.5"/>
  </r>
  <r>
    <s v="SO0056"/>
    <x v="52"/>
    <s v="C0150"/>
    <s v="Customer 156"/>
    <s v="Pune"/>
    <x v="1"/>
    <x v="3"/>
    <s v="Handbag"/>
    <n v="3"/>
    <n v="1900"/>
    <n v="0"/>
    <n v="600"/>
    <s v="Corporate"/>
    <n v="5700"/>
    <n v="3900"/>
    <n v="8914040"/>
    <n v="6861930"/>
  </r>
  <r>
    <s v="SO0057"/>
    <x v="53"/>
    <s v="C0036"/>
    <s v="Customer 117"/>
    <s v="Chennai"/>
    <x v="3"/>
    <x v="0"/>
    <s v="Table Lamp"/>
    <n v="1"/>
    <n v="850"/>
    <n v="0"/>
    <n v="250"/>
    <s v="Home Office"/>
    <n v="850"/>
    <n v="600"/>
    <n v="8908340"/>
    <n v="6858030"/>
  </r>
  <r>
    <s v="SO0058"/>
    <x v="54"/>
    <s v="C0169"/>
    <s v="Customer 180"/>
    <s v="Kolkata"/>
    <x v="0"/>
    <x v="2"/>
    <s v="Laptop"/>
    <n v="2"/>
    <n v="52000"/>
    <n v="0.1"/>
    <n v="9000"/>
    <s v="Corporate"/>
    <n v="93600"/>
    <n v="75600"/>
    <n v="8907490"/>
    <n v="6857430"/>
  </r>
  <r>
    <s v="SO0059"/>
    <x v="55"/>
    <s v="C0120"/>
    <s v="Customer 084"/>
    <s v="Chennai"/>
    <x v="3"/>
    <x v="1"/>
    <s v="Study Table"/>
    <n v="2"/>
    <n v="8500"/>
    <n v="0"/>
    <n v="2100"/>
    <s v="Consumer"/>
    <n v="17000"/>
    <n v="12800"/>
    <n v="8813890"/>
    <n v="6781830"/>
  </r>
  <r>
    <s v="SO0060"/>
    <x v="56"/>
    <s v="C0023"/>
    <s v="Customer 045"/>
    <s v="Bengaluru"/>
    <x v="1"/>
    <x v="0"/>
    <s v="Bedsheet"/>
    <n v="3"/>
    <n v="1200"/>
    <n v="0.1"/>
    <n v="350"/>
    <s v="Corporate"/>
    <n v="3240"/>
    <n v="2190"/>
    <n v="8796890"/>
    <n v="6769030"/>
  </r>
  <r>
    <s v="SO0061"/>
    <x v="57"/>
    <s v="C0149"/>
    <s v="Customer 066"/>
    <s v="Pune"/>
    <x v="3"/>
    <x v="1"/>
    <s v="Bookshelf"/>
    <n v="1"/>
    <n v="4200"/>
    <n v="0.05"/>
    <n v="1000"/>
    <s v="Corporate"/>
    <n v="3990"/>
    <n v="2990"/>
    <n v="8793650"/>
    <n v="6766840"/>
  </r>
  <r>
    <s v="SO0062"/>
    <x v="11"/>
    <s v="C0132"/>
    <s v="Customer 055"/>
    <s v="Mumbai"/>
    <x v="0"/>
    <x v="0"/>
    <s v="Mixer Grinder"/>
    <n v="4"/>
    <n v="2800"/>
    <n v="0.05"/>
    <n v="750"/>
    <s v="Consumer"/>
    <n v="10640"/>
    <n v="7640"/>
    <n v="8789660"/>
    <n v="6763850"/>
  </r>
  <r>
    <s v="SO0063"/>
    <x v="58"/>
    <s v="C0084"/>
    <s v="Customer 059"/>
    <s v="Mumbai"/>
    <x v="1"/>
    <x v="3"/>
    <s v="T-Shirt"/>
    <n v="1"/>
    <n v="550"/>
    <n v="0"/>
    <n v="180"/>
    <s v="Consumer"/>
    <n v="550"/>
    <n v="370"/>
    <n v="8779020"/>
    <n v="6756210"/>
  </r>
  <r>
    <s v="SO0064"/>
    <x v="59"/>
    <s v="C0107"/>
    <s v="Customer 086"/>
    <s v="Jaipur"/>
    <x v="0"/>
    <x v="2"/>
    <s v="Keyboard"/>
    <n v="1"/>
    <n v="950"/>
    <n v="0.1"/>
    <n v="300"/>
    <s v="Consumer"/>
    <n v="855"/>
    <n v="555"/>
    <n v="8778470"/>
    <n v="6755840"/>
  </r>
  <r>
    <s v="SO0065"/>
    <x v="60"/>
    <s v="C0149"/>
    <s v="Customer 098"/>
    <s v="Hyderabad"/>
    <x v="1"/>
    <x v="2"/>
    <s v="Laptop"/>
    <n v="5"/>
    <n v="52000"/>
    <n v="0"/>
    <n v="9000"/>
    <s v="Corporate"/>
    <n v="260000"/>
    <n v="215000"/>
    <n v="8777615"/>
    <n v="6755285"/>
  </r>
  <r>
    <s v="SO0066"/>
    <x v="61"/>
    <s v="C0126"/>
    <s v="Customer 060"/>
    <s v="Jaipur"/>
    <x v="2"/>
    <x v="1"/>
    <s v="Bookshelf"/>
    <n v="2"/>
    <n v="4200"/>
    <n v="0.05"/>
    <n v="1000"/>
    <s v="Home Office"/>
    <n v="7980"/>
    <n v="5980"/>
    <n v="8517615"/>
    <n v="6540285"/>
  </r>
  <r>
    <s v="SO0067"/>
    <x v="62"/>
    <s v="C0110"/>
    <s v="Customer 080"/>
    <s v="Jaipur"/>
    <x v="2"/>
    <x v="0"/>
    <s v="Cookware Set"/>
    <n v="2"/>
    <n v="2400"/>
    <n v="0.15"/>
    <n v="650"/>
    <s v="Home Office"/>
    <n v="4080"/>
    <n v="2780"/>
    <n v="8509635"/>
    <n v="6534305"/>
  </r>
  <r>
    <s v="SO0068"/>
    <x v="63"/>
    <s v="C0010"/>
    <s v="Customer 002"/>
    <s v="Delhi"/>
    <x v="0"/>
    <x v="2"/>
    <s v="Wireless Mouse"/>
    <n v="3"/>
    <n v="650"/>
    <n v="0"/>
    <n v="200"/>
    <s v="Consumer"/>
    <n v="1950"/>
    <n v="1350"/>
    <n v="8505555"/>
    <n v="6531525"/>
  </r>
  <r>
    <s v="SO0069"/>
    <x v="49"/>
    <s v="C0023"/>
    <s v="Customer 095"/>
    <s v="Chennai"/>
    <x v="3"/>
    <x v="3"/>
    <s v="Handbag"/>
    <n v="1"/>
    <n v="1900"/>
    <n v="0.15"/>
    <n v="600"/>
    <s v="Home Office"/>
    <n v="1615"/>
    <n v="1015"/>
    <n v="8503605"/>
    <n v="6530175"/>
  </r>
  <r>
    <s v="SO0070"/>
    <x v="64"/>
    <s v="C0056"/>
    <s v="Customer 156"/>
    <s v="Mumbai"/>
    <x v="3"/>
    <x v="0"/>
    <s v="Bedsheet"/>
    <n v="2"/>
    <n v="1200"/>
    <n v="0.1"/>
    <n v="350"/>
    <s v="Consumer"/>
    <n v="2160"/>
    <n v="1460"/>
    <n v="8501990"/>
    <n v="6529160"/>
  </r>
  <r>
    <s v="SO0071"/>
    <x v="65"/>
    <s v="C0019"/>
    <s v="Customer 106"/>
    <s v="Mumbai"/>
    <x v="3"/>
    <x v="1"/>
    <s v="Dining Table"/>
    <n v="2"/>
    <n v="15000"/>
    <n v="0.15"/>
    <n v="3500"/>
    <s v="Corporate"/>
    <n v="25500"/>
    <n v="18500"/>
    <n v="8499830"/>
    <n v="6527700"/>
  </r>
  <r>
    <s v="SO0072"/>
    <x v="66"/>
    <s v="C0037"/>
    <s v="Customer 169"/>
    <s v="Pune"/>
    <x v="2"/>
    <x v="3"/>
    <s v="Handbag"/>
    <n v="2"/>
    <n v="1900"/>
    <n v="0.05"/>
    <n v="600"/>
    <s v="Corporate"/>
    <n v="3610"/>
    <n v="2410"/>
    <n v="8474330"/>
    <n v="6509200"/>
  </r>
  <r>
    <s v="SO0073"/>
    <x v="67"/>
    <s v="C0174"/>
    <s v="Customer 003"/>
    <s v="Chennai"/>
    <x v="3"/>
    <x v="2"/>
    <s v="Keyboard"/>
    <n v="3"/>
    <n v="950"/>
    <n v="0.1"/>
    <n v="300"/>
    <s v="Home Office"/>
    <n v="2565"/>
    <n v="1665"/>
    <n v="8470720"/>
    <n v="6506790"/>
  </r>
  <r>
    <s v="SO0074"/>
    <x v="68"/>
    <s v="C0073"/>
    <s v="Customer 032"/>
    <s v="Pune"/>
    <x v="2"/>
    <x v="3"/>
    <s v="T-Shirt"/>
    <n v="2"/>
    <n v="550"/>
    <n v="0"/>
    <n v="180"/>
    <s v="Home Office"/>
    <n v="1100"/>
    <n v="740"/>
    <n v="8468155"/>
    <n v="6505125"/>
  </r>
  <r>
    <s v="SO0075"/>
    <x v="69"/>
    <s v="C0007"/>
    <s v="Customer 128"/>
    <s v="Bengaluru"/>
    <x v="3"/>
    <x v="3"/>
    <s v="Sneakers"/>
    <n v="2"/>
    <n v="2600"/>
    <n v="0"/>
    <n v="800"/>
    <s v="Consumer"/>
    <n v="5200"/>
    <n v="3600"/>
    <n v="8467055"/>
    <n v="6504385"/>
  </r>
  <r>
    <s v="SO0076"/>
    <x v="70"/>
    <s v="C0165"/>
    <s v="Customer 068"/>
    <s v="Delhi"/>
    <x v="2"/>
    <x v="0"/>
    <s v="Bedsheet"/>
    <n v="5"/>
    <n v="1200"/>
    <n v="0"/>
    <n v="350"/>
    <s v="Home Office"/>
    <n v="6000"/>
    <n v="4250"/>
    <n v="8461855"/>
    <n v="6500785"/>
  </r>
  <r>
    <s v="SO0077"/>
    <x v="71"/>
    <s v="C0180"/>
    <s v="Customer 150"/>
    <s v="Mumbai"/>
    <x v="1"/>
    <x v="2"/>
    <s v="Laptop"/>
    <n v="3"/>
    <n v="52000"/>
    <n v="0.05"/>
    <n v="9000"/>
    <s v="Home Office"/>
    <n v="148200"/>
    <n v="121200"/>
    <n v="8455855"/>
    <n v="6496535"/>
  </r>
  <r>
    <s v="SO0078"/>
    <x v="72"/>
    <s v="C0153"/>
    <s v="Customer 095"/>
    <s v="Hyderabad"/>
    <x v="1"/>
    <x v="0"/>
    <s v="Mixer Grinder"/>
    <n v="3"/>
    <n v="2800"/>
    <n v="0"/>
    <n v="750"/>
    <s v="Corporate"/>
    <n v="8400"/>
    <n v="6150"/>
    <n v="8307655"/>
    <n v="6375335"/>
  </r>
  <r>
    <s v="SO0079"/>
    <x v="73"/>
    <s v="C0095"/>
    <s v="Customer 109"/>
    <s v="Bengaluru"/>
    <x v="2"/>
    <x v="3"/>
    <s v="Handbag"/>
    <n v="2"/>
    <n v="1900"/>
    <n v="0.15"/>
    <n v="600"/>
    <s v="Home Office"/>
    <n v="3230"/>
    <n v="2030"/>
    <n v="8299255"/>
    <n v="6369185"/>
  </r>
  <r>
    <s v="SO0080"/>
    <x v="74"/>
    <s v="C0139"/>
    <s v="Customer 149"/>
    <s v="Mumbai"/>
    <x v="1"/>
    <x v="3"/>
    <s v="Handbag"/>
    <n v="5"/>
    <n v="1900"/>
    <n v="0.15"/>
    <n v="600"/>
    <s v="Corporate"/>
    <n v="8075"/>
    <n v="5075"/>
    <n v="8296025"/>
    <n v="6367155"/>
  </r>
  <r>
    <s v="SO0081"/>
    <x v="72"/>
    <s v="C0167"/>
    <s v="Customer 079"/>
    <s v="Bengaluru"/>
    <x v="1"/>
    <x v="2"/>
    <s v="Wireless Mouse"/>
    <n v="2"/>
    <n v="650"/>
    <n v="0.1"/>
    <n v="200"/>
    <s v="Consumer"/>
    <n v="1170"/>
    <n v="770"/>
    <n v="8287950"/>
    <n v="6362080"/>
  </r>
  <r>
    <s v="SO0082"/>
    <x v="75"/>
    <s v="C0134"/>
    <s v="Customer 074"/>
    <s v="Jaipur"/>
    <x v="0"/>
    <x v="2"/>
    <s v="Smartphone"/>
    <n v="2"/>
    <n v="18000"/>
    <n v="0"/>
    <n v="3000"/>
    <s v="Consumer"/>
    <n v="36000"/>
    <n v="30000"/>
    <n v="8286780"/>
    <n v="6361310"/>
  </r>
  <r>
    <s v="SO0083"/>
    <x v="76"/>
    <s v="C0175"/>
    <s v="Customer 043"/>
    <s v="Bengaluru"/>
    <x v="2"/>
    <x v="0"/>
    <s v="Water Bottle"/>
    <n v="4"/>
    <n v="350"/>
    <n v="0.15"/>
    <n v="100"/>
    <s v="Corporate"/>
    <n v="1190"/>
    <n v="790"/>
    <n v="8250780"/>
    <n v="6331310"/>
  </r>
  <r>
    <s v="SO0084"/>
    <x v="77"/>
    <s v="C0117"/>
    <s v="Customer 051"/>
    <s v="Hyderabad"/>
    <x v="0"/>
    <x v="0"/>
    <s v="Water Bottle"/>
    <n v="1"/>
    <n v="350"/>
    <n v="0.15"/>
    <n v="100"/>
    <s v="Consumer"/>
    <n v="297.5"/>
    <n v="197.5"/>
    <n v="8249590"/>
    <n v="6330520"/>
  </r>
  <r>
    <s v="SO0085"/>
    <x v="78"/>
    <s v="C0175"/>
    <s v="Customer 148"/>
    <s v="Mumbai"/>
    <x v="3"/>
    <x v="3"/>
    <s v="Sneakers"/>
    <n v="5"/>
    <n v="2600"/>
    <n v="0"/>
    <n v="800"/>
    <s v="Home Office"/>
    <n v="13000"/>
    <n v="9000"/>
    <n v="8249292.5"/>
    <n v="6330322.5"/>
  </r>
  <r>
    <s v="SO0086"/>
    <x v="79"/>
    <s v="C0035"/>
    <s v="Customer 093"/>
    <s v="Chennai"/>
    <x v="2"/>
    <x v="2"/>
    <s v="Headphones"/>
    <n v="2"/>
    <n v="1800"/>
    <n v="0"/>
    <n v="650"/>
    <s v="Consumer"/>
    <n v="3600"/>
    <n v="2300"/>
    <n v="8236292.5"/>
    <n v="6321322.5"/>
  </r>
  <r>
    <s v="SO0087"/>
    <x v="80"/>
    <s v="C0108"/>
    <s v="Customer 086"/>
    <s v="Mumbai"/>
    <x v="1"/>
    <x v="2"/>
    <s v="Keyboard"/>
    <n v="3"/>
    <n v="950"/>
    <n v="0.15"/>
    <n v="300"/>
    <s v="Consumer"/>
    <n v="2422.5"/>
    <n v="1522.5"/>
    <n v="8232692.5"/>
    <n v="6319022.5"/>
  </r>
  <r>
    <s v="SO0088"/>
    <x v="81"/>
    <s v="C0050"/>
    <s v="Customer 155"/>
    <s v="Kolkata"/>
    <x v="2"/>
    <x v="3"/>
    <s v="Sneakers"/>
    <n v="4"/>
    <n v="2600"/>
    <n v="0.05"/>
    <n v="800"/>
    <s v="Consumer"/>
    <n v="9880"/>
    <n v="6680"/>
    <n v="8230270"/>
    <n v="6317500"/>
  </r>
  <r>
    <s v="SO0089"/>
    <x v="82"/>
    <s v="C0092"/>
    <s v="Customer 174"/>
    <s v="Delhi"/>
    <x v="3"/>
    <x v="3"/>
    <s v="T-Shirt"/>
    <n v="2"/>
    <n v="550"/>
    <n v="0.05"/>
    <n v="180"/>
    <s v="Corporate"/>
    <n v="1045"/>
    <n v="685"/>
    <n v="8220390"/>
    <n v="6310820"/>
  </r>
  <r>
    <s v="SO0090"/>
    <x v="83"/>
    <s v="C0042"/>
    <s v="Customer 056"/>
    <s v="Hyderabad"/>
    <x v="2"/>
    <x v="0"/>
    <s v="Water Bottle"/>
    <n v="4"/>
    <n v="350"/>
    <n v="0.05"/>
    <n v="100"/>
    <s v="Home Office"/>
    <n v="1330"/>
    <n v="930"/>
    <n v="8219345"/>
    <n v="6310135"/>
  </r>
  <r>
    <s v="SO0091"/>
    <x v="63"/>
    <s v="C0142"/>
    <s v="Customer 124"/>
    <s v="Hyderabad"/>
    <x v="1"/>
    <x v="0"/>
    <s v="Bedsheet"/>
    <n v="2"/>
    <n v="1200"/>
    <n v="0"/>
    <n v="350"/>
    <s v="Consumer"/>
    <n v="2400"/>
    <n v="1700"/>
    <n v="8218015"/>
    <n v="6309205"/>
  </r>
  <r>
    <s v="SO0092"/>
    <x v="57"/>
    <s v="C0109"/>
    <s v="Customer 081"/>
    <s v="Hyderabad"/>
    <x v="1"/>
    <x v="1"/>
    <s v="Study Table"/>
    <n v="1"/>
    <n v="8500"/>
    <n v="0"/>
    <n v="2100"/>
    <s v="Consumer"/>
    <n v="8500"/>
    <n v="6400"/>
    <n v="8215615"/>
    <n v="6307505"/>
  </r>
  <r>
    <s v="SO0093"/>
    <x v="84"/>
    <s v="C0089"/>
    <s v="Customer 107"/>
    <s v="Bengaluru"/>
    <x v="2"/>
    <x v="1"/>
    <s v="Bookshelf"/>
    <n v="3"/>
    <n v="4200"/>
    <n v="0"/>
    <n v="1000"/>
    <s v="Corporate"/>
    <n v="12600"/>
    <n v="9600"/>
    <n v="8207115"/>
    <n v="6301105"/>
  </r>
  <r>
    <s v="SO0094"/>
    <x v="85"/>
    <s v="C0055"/>
    <s v="Customer 083"/>
    <s v="Chennai"/>
    <x v="3"/>
    <x v="2"/>
    <s v="Keyboard"/>
    <n v="3"/>
    <n v="950"/>
    <n v="0.05"/>
    <n v="300"/>
    <s v="Corporate"/>
    <n v="2707.5"/>
    <n v="1807.5"/>
    <n v="8194515"/>
    <n v="6291505"/>
  </r>
  <r>
    <s v="SO0095"/>
    <x v="86"/>
    <s v="C0014"/>
    <s v="Customer 016"/>
    <s v="Bengaluru"/>
    <x v="2"/>
    <x v="2"/>
    <s v="Laptop"/>
    <n v="2"/>
    <n v="52000"/>
    <n v="0.1"/>
    <n v="9000"/>
    <s v="Home Office"/>
    <n v="93600"/>
    <n v="75600"/>
    <n v="8191807.5"/>
    <n v="6289697.5"/>
  </r>
  <r>
    <s v="SO0096"/>
    <x v="87"/>
    <s v="C0091"/>
    <s v="Customer 072"/>
    <s v="Hyderabad"/>
    <x v="0"/>
    <x v="0"/>
    <s v="Cookware Set"/>
    <n v="5"/>
    <n v="2400"/>
    <n v="0.15"/>
    <n v="650"/>
    <s v="Corporate"/>
    <n v="10200"/>
    <n v="6950"/>
    <n v="8098207.5"/>
    <n v="6214097.5"/>
  </r>
  <r>
    <s v="SO0097"/>
    <x v="88"/>
    <s v="C0084"/>
    <s v="Customer 058"/>
    <s v="Chennai"/>
    <x v="0"/>
    <x v="0"/>
    <s v="Water Bottle"/>
    <n v="2"/>
    <n v="350"/>
    <n v="0"/>
    <n v="100"/>
    <s v="Consumer"/>
    <n v="700"/>
    <n v="500"/>
    <n v="8088007.5"/>
    <n v="6207147.5"/>
  </r>
  <r>
    <s v="SO0098"/>
    <x v="69"/>
    <s v="C0014"/>
    <s v="Customer 085"/>
    <s v="Bengaluru"/>
    <x v="1"/>
    <x v="2"/>
    <s v="Keyboard"/>
    <n v="4"/>
    <n v="950"/>
    <n v="0.15"/>
    <n v="300"/>
    <s v="Consumer"/>
    <n v="3230"/>
    <n v="2030"/>
    <n v="8087307.5"/>
    <n v="6206647.5"/>
  </r>
  <r>
    <s v="SO0099"/>
    <x v="89"/>
    <s v="C0024"/>
    <s v="Customer 088"/>
    <s v="Mumbai"/>
    <x v="2"/>
    <x v="2"/>
    <s v="Laptop"/>
    <n v="5"/>
    <n v="52000"/>
    <n v="0"/>
    <n v="9000"/>
    <s v="Home Office"/>
    <n v="260000"/>
    <n v="215000"/>
    <n v="8084077.5"/>
    <n v="6204617.5"/>
  </r>
  <r>
    <s v="SO0100"/>
    <x v="90"/>
    <s v="C0045"/>
    <s v="Customer 037"/>
    <s v="Kolkata"/>
    <x v="0"/>
    <x v="2"/>
    <s v="Laptop"/>
    <n v="4"/>
    <n v="52000"/>
    <n v="0.15"/>
    <n v="9000"/>
    <s v="Home Office"/>
    <n v="176800"/>
    <n v="140800"/>
    <n v="7824077.5"/>
    <n v="5989617.5"/>
  </r>
  <r>
    <s v="SO0101"/>
    <x v="91"/>
    <s v="C0072"/>
    <s v="Customer 147"/>
    <s v="Jaipur"/>
    <x v="1"/>
    <x v="2"/>
    <s v="Headphones"/>
    <n v="2"/>
    <n v="1800"/>
    <n v="0.05"/>
    <n v="650"/>
    <s v="Home Office"/>
    <n v="3420"/>
    <n v="2120"/>
    <n v="7647277.5"/>
    <n v="5848817.5"/>
  </r>
  <r>
    <s v="SO0102"/>
    <x v="92"/>
    <s v="C0109"/>
    <s v="Customer 117"/>
    <s v="Jaipur"/>
    <x v="3"/>
    <x v="1"/>
    <s v="Study Table"/>
    <n v="4"/>
    <n v="8500"/>
    <n v="0"/>
    <n v="2100"/>
    <s v="Consumer"/>
    <n v="34000"/>
    <n v="25600"/>
    <n v="7643857.5"/>
    <n v="5846697.5"/>
  </r>
  <r>
    <s v="SO0103"/>
    <x v="88"/>
    <s v="C0070"/>
    <s v="Customer 075"/>
    <s v="Bengaluru"/>
    <x v="0"/>
    <x v="2"/>
    <s v="Keyboard"/>
    <n v="2"/>
    <n v="950"/>
    <n v="0.15"/>
    <n v="300"/>
    <s v="Consumer"/>
    <n v="1615"/>
    <n v="1015"/>
    <n v="7609857.5"/>
    <n v="5821097.5"/>
  </r>
  <r>
    <s v="SO0104"/>
    <x v="93"/>
    <s v="C0047"/>
    <s v="Customer 036"/>
    <s v="Chennai"/>
    <x v="2"/>
    <x v="1"/>
    <s v="Dining Table"/>
    <n v="1"/>
    <n v="15000"/>
    <n v="0.1"/>
    <n v="3500"/>
    <s v="Corporate"/>
    <n v="13500"/>
    <n v="10000"/>
    <n v="7608242.5"/>
    <n v="5820082.5"/>
  </r>
  <r>
    <s v="SO0105"/>
    <x v="94"/>
    <s v="C0164"/>
    <s v="Customer 067"/>
    <s v="Jaipur"/>
    <x v="2"/>
    <x v="2"/>
    <s v="Headphones"/>
    <n v="4"/>
    <n v="1800"/>
    <n v="0.05"/>
    <n v="650"/>
    <s v="Home Office"/>
    <n v="6840"/>
    <n v="4240"/>
    <n v="7594742.5"/>
    <n v="5810082.5"/>
  </r>
  <r>
    <s v="SO0106"/>
    <x v="95"/>
    <s v="C0010"/>
    <s v="Customer 149"/>
    <s v="Delhi"/>
    <x v="2"/>
    <x v="1"/>
    <s v="Dining Table"/>
    <n v="2"/>
    <n v="15000"/>
    <n v="0.15"/>
    <n v="3500"/>
    <s v="Home Office"/>
    <n v="25500"/>
    <n v="18500"/>
    <n v="7587902.5"/>
    <n v="5805842.5"/>
  </r>
  <r>
    <s v="SO0107"/>
    <x v="96"/>
    <s v="C0063"/>
    <s v="Customer 128"/>
    <s v="Hyderabad"/>
    <x v="3"/>
    <x v="0"/>
    <s v="Table Lamp"/>
    <n v="4"/>
    <n v="850"/>
    <n v="0"/>
    <n v="250"/>
    <s v="Corporate"/>
    <n v="3400"/>
    <n v="2400"/>
    <n v="7562402.5"/>
    <n v="5787342.5"/>
  </r>
  <r>
    <s v="SO0108"/>
    <x v="97"/>
    <s v="C0097"/>
    <s v="Customer 046"/>
    <s v="Delhi"/>
    <x v="0"/>
    <x v="2"/>
    <s v="Laptop"/>
    <n v="3"/>
    <n v="52000"/>
    <n v="0.15"/>
    <n v="9000"/>
    <s v="Consumer"/>
    <n v="132600"/>
    <n v="105600"/>
    <n v="7559002.5"/>
    <n v="5784942.5"/>
  </r>
  <r>
    <s v="SO0109"/>
    <x v="98"/>
    <s v="C0112"/>
    <s v="Customer 067"/>
    <s v="Pune"/>
    <x v="0"/>
    <x v="0"/>
    <s v="Cookware Set"/>
    <n v="1"/>
    <n v="2400"/>
    <n v="0.15"/>
    <n v="650"/>
    <s v="Corporate"/>
    <n v="2040"/>
    <n v="1390"/>
    <n v="7426402.5"/>
    <n v="5679342.5"/>
  </r>
  <r>
    <s v="SO0110"/>
    <x v="99"/>
    <s v="C0110"/>
    <s v="Customer 099"/>
    <s v="Delhi"/>
    <x v="0"/>
    <x v="3"/>
    <s v="Jacket"/>
    <n v="5"/>
    <n v="3200"/>
    <n v="0"/>
    <n v="950"/>
    <s v="Consumer"/>
    <n v="16000"/>
    <n v="11250"/>
    <n v="7424362.5"/>
    <n v="5677952.5"/>
  </r>
  <r>
    <s v="SO0111"/>
    <x v="100"/>
    <s v="C0130"/>
    <s v="Customer 082"/>
    <s v="Chennai"/>
    <x v="1"/>
    <x v="3"/>
    <s v="Handbag"/>
    <n v="2"/>
    <n v="1900"/>
    <n v="0"/>
    <n v="600"/>
    <s v="Corporate"/>
    <n v="3800"/>
    <n v="2600"/>
    <n v="7408362.5"/>
    <n v="5666702.5"/>
  </r>
  <r>
    <s v="SO0112"/>
    <x v="101"/>
    <s v="C0039"/>
    <s v="Customer 088"/>
    <s v="Delhi"/>
    <x v="3"/>
    <x v="2"/>
    <s v="Laptop"/>
    <n v="3"/>
    <n v="52000"/>
    <n v="0"/>
    <n v="9000"/>
    <s v="Home Office"/>
    <n v="156000"/>
    <n v="129000"/>
    <n v="7404562.5"/>
    <n v="5664102.5"/>
  </r>
  <r>
    <s v="SO0113"/>
    <x v="102"/>
    <s v="C0026"/>
    <s v="Customer 101"/>
    <s v="Hyderabad"/>
    <x v="3"/>
    <x v="1"/>
    <s v="Study Table"/>
    <n v="4"/>
    <n v="8500"/>
    <n v="0.15"/>
    <n v="2100"/>
    <s v="Corporate"/>
    <n v="28900"/>
    <n v="20500"/>
    <n v="7248562.5"/>
    <n v="5535102.5"/>
  </r>
  <r>
    <s v="SO0114"/>
    <x v="37"/>
    <s v="C0077"/>
    <s v="Customer 122"/>
    <s v="Pune"/>
    <x v="0"/>
    <x v="3"/>
    <s v="Jacket"/>
    <n v="4"/>
    <n v="3200"/>
    <n v="0"/>
    <n v="950"/>
    <s v="Corporate"/>
    <n v="12800"/>
    <n v="9000"/>
    <n v="7219662.5"/>
    <n v="5514602.5"/>
  </r>
  <r>
    <s v="SO0115"/>
    <x v="103"/>
    <s v="C0023"/>
    <s v="Customer 108"/>
    <s v="Kolkata"/>
    <x v="3"/>
    <x v="1"/>
    <s v="Study Table"/>
    <n v="5"/>
    <n v="8500"/>
    <n v="0.15"/>
    <n v="2100"/>
    <s v="Corporate"/>
    <n v="36125"/>
    <n v="25625"/>
    <n v="7206862.5"/>
    <n v="5505602.5"/>
  </r>
  <r>
    <s v="SO0116"/>
    <x v="104"/>
    <s v="C0053"/>
    <s v="Customer 139"/>
    <s v="Mumbai"/>
    <x v="3"/>
    <x v="1"/>
    <s v="Bookshelf"/>
    <n v="4"/>
    <n v="4200"/>
    <n v="0"/>
    <n v="1000"/>
    <s v="Consumer"/>
    <n v="16800"/>
    <n v="12800"/>
    <n v="7170737.5"/>
    <n v="5479977.5"/>
  </r>
  <r>
    <s v="SO0117"/>
    <x v="105"/>
    <s v="C0015"/>
    <s v="Customer 122"/>
    <s v="Pune"/>
    <x v="1"/>
    <x v="3"/>
    <s v="Jeans"/>
    <n v="2"/>
    <n v="1400"/>
    <n v="0.1"/>
    <n v="450"/>
    <s v="Corporate"/>
    <n v="2520"/>
    <n v="1620"/>
    <n v="7153937.5"/>
    <n v="5467177.5"/>
  </r>
  <r>
    <s v="SO0118"/>
    <x v="14"/>
    <s v="C0172"/>
    <s v="Customer 010"/>
    <s v="Chennai"/>
    <x v="3"/>
    <x v="3"/>
    <s v="Handbag"/>
    <n v="3"/>
    <n v="1900"/>
    <n v="0"/>
    <n v="600"/>
    <s v="Corporate"/>
    <n v="5700"/>
    <n v="3900"/>
    <n v="7151417.5"/>
    <n v="5465557.5"/>
  </r>
  <r>
    <s v="SO0119"/>
    <x v="106"/>
    <s v="C0127"/>
    <s v="Customer 112"/>
    <s v="Mumbai"/>
    <x v="0"/>
    <x v="3"/>
    <s v="Jeans"/>
    <n v="2"/>
    <n v="1400"/>
    <n v="0.15"/>
    <n v="450"/>
    <s v="Corporate"/>
    <n v="2380"/>
    <n v="1480"/>
    <n v="7145717.5"/>
    <n v="5461657.5"/>
  </r>
  <r>
    <s v="SO0120"/>
    <x v="107"/>
    <s v="C0074"/>
    <s v="Customer 059"/>
    <s v="Pune"/>
    <x v="1"/>
    <x v="0"/>
    <s v="Bedsheet"/>
    <n v="1"/>
    <n v="1200"/>
    <n v="0.1"/>
    <n v="350"/>
    <s v="Consumer"/>
    <n v="1080"/>
    <n v="730"/>
    <n v="7143337.5"/>
    <n v="5460177.5"/>
  </r>
  <r>
    <s v="SO0121"/>
    <x v="108"/>
    <s v="C0170"/>
    <s v="Customer 169"/>
    <s v="Mumbai"/>
    <x v="3"/>
    <x v="3"/>
    <s v="Handbag"/>
    <n v="4"/>
    <n v="1900"/>
    <n v="0.05"/>
    <n v="600"/>
    <s v="Corporate"/>
    <n v="7220"/>
    <n v="4820"/>
    <n v="7142257.5"/>
    <n v="5459447.5"/>
  </r>
  <r>
    <s v="SO0122"/>
    <x v="109"/>
    <s v="C0005"/>
    <s v="Customer 152"/>
    <s v="Chennai"/>
    <x v="3"/>
    <x v="2"/>
    <s v="Headphones"/>
    <n v="1"/>
    <n v="1800"/>
    <n v="0.05"/>
    <n v="650"/>
    <s v="Consumer"/>
    <n v="1710"/>
    <n v="1060"/>
    <n v="7135037.5"/>
    <n v="5454627.5"/>
  </r>
  <r>
    <s v="SO0123"/>
    <x v="110"/>
    <s v="C0122"/>
    <s v="Customer 128"/>
    <s v="Jaipur"/>
    <x v="0"/>
    <x v="1"/>
    <s v="Sofa"/>
    <n v="3"/>
    <n v="22000"/>
    <n v="0.05"/>
    <n v="5000"/>
    <s v="Home Office"/>
    <n v="62700"/>
    <n v="47700"/>
    <n v="7133327.5"/>
    <n v="5453567.5"/>
  </r>
  <r>
    <s v="SO0124"/>
    <x v="111"/>
    <s v="C0095"/>
    <s v="Customer 106"/>
    <s v="Jaipur"/>
    <x v="0"/>
    <x v="2"/>
    <s v="Smartphone"/>
    <n v="1"/>
    <n v="18000"/>
    <n v="0"/>
    <n v="3000"/>
    <s v="Home Office"/>
    <n v="18000"/>
    <n v="15000"/>
    <n v="7070627.5"/>
    <n v="5405867.5"/>
  </r>
  <r>
    <s v="SO0125"/>
    <x v="112"/>
    <s v="C0153"/>
    <s v="Customer 142"/>
    <s v="Delhi"/>
    <x v="2"/>
    <x v="0"/>
    <s v="Bedsheet"/>
    <n v="4"/>
    <n v="1200"/>
    <n v="0.05"/>
    <n v="350"/>
    <s v="Corporate"/>
    <n v="4560"/>
    <n v="3160"/>
    <n v="7052627.5"/>
    <n v="5390867.5"/>
  </r>
  <r>
    <s v="SO0126"/>
    <x v="113"/>
    <s v="C0068"/>
    <s v="Customer 081"/>
    <s v="Bengaluru"/>
    <x v="0"/>
    <x v="2"/>
    <s v="Headphones"/>
    <n v="3"/>
    <n v="1800"/>
    <n v="0.1"/>
    <n v="650"/>
    <s v="Home Office"/>
    <n v="4860"/>
    <n v="2910"/>
    <n v="7048067.5"/>
    <n v="5387707.5"/>
  </r>
  <r>
    <s v="SO0127"/>
    <x v="114"/>
    <s v="C0120"/>
    <s v="Customer 115"/>
    <s v="Hyderabad"/>
    <x v="3"/>
    <x v="3"/>
    <s v="Handbag"/>
    <n v="5"/>
    <n v="1900"/>
    <n v="0"/>
    <n v="600"/>
    <s v="Corporate"/>
    <n v="9500"/>
    <n v="6500"/>
    <n v="7043207.5"/>
    <n v="5384797.5"/>
  </r>
  <r>
    <s v="SO0128"/>
    <x v="115"/>
    <s v="C0086"/>
    <s v="Customer 144"/>
    <s v="Delhi"/>
    <x v="2"/>
    <x v="2"/>
    <s v="Smartphone"/>
    <n v="5"/>
    <n v="18000"/>
    <n v="0"/>
    <n v="3000"/>
    <s v="Home Office"/>
    <n v="90000"/>
    <n v="75000"/>
    <n v="7033707.5"/>
    <n v="5378297.5"/>
  </r>
  <r>
    <s v="SO0129"/>
    <x v="63"/>
    <s v="C0103"/>
    <s v="Customer 043"/>
    <s v="Delhi"/>
    <x v="0"/>
    <x v="1"/>
    <s v="Sofa"/>
    <n v="4"/>
    <n v="22000"/>
    <n v="0.05"/>
    <n v="5000"/>
    <s v="Home Office"/>
    <n v="83600"/>
    <n v="63600"/>
    <n v="6943707.5"/>
    <n v="5303297.5"/>
  </r>
  <r>
    <s v="SO0130"/>
    <x v="116"/>
    <s v="C0070"/>
    <s v="Customer 070"/>
    <s v="Jaipur"/>
    <x v="1"/>
    <x v="2"/>
    <s v="Keyboard"/>
    <n v="4"/>
    <n v="950"/>
    <n v="0.15"/>
    <n v="300"/>
    <s v="Corporate"/>
    <n v="3230"/>
    <n v="2030"/>
    <n v="6860107.5"/>
    <n v="5239697.5"/>
  </r>
  <r>
    <s v="SO0131"/>
    <x v="3"/>
    <s v="C0054"/>
    <s v="Customer 086"/>
    <s v="Mumbai"/>
    <x v="1"/>
    <x v="3"/>
    <s v="Sneakers"/>
    <n v="1"/>
    <n v="2600"/>
    <n v="0.1"/>
    <n v="800"/>
    <s v="Corporate"/>
    <n v="2340"/>
    <n v="1540"/>
    <n v="6856877.5"/>
    <n v="5237667.5"/>
  </r>
  <r>
    <s v="SO0132"/>
    <x v="117"/>
    <s v="C0133"/>
    <s v="Customer 057"/>
    <s v="Kolkata"/>
    <x v="0"/>
    <x v="0"/>
    <s v="Water Bottle"/>
    <n v="5"/>
    <n v="350"/>
    <n v="0.05"/>
    <n v="100"/>
    <s v="Corporate"/>
    <n v="1662.5"/>
    <n v="1162.5"/>
    <n v="6854537.5"/>
    <n v="5236127.5"/>
  </r>
  <r>
    <s v="SO0133"/>
    <x v="118"/>
    <s v="C0095"/>
    <s v="Customer 164"/>
    <s v="Jaipur"/>
    <x v="1"/>
    <x v="2"/>
    <s v="Wireless Mouse"/>
    <n v="1"/>
    <n v="650"/>
    <n v="0.1"/>
    <n v="200"/>
    <s v="Consumer"/>
    <n v="585"/>
    <n v="385"/>
    <n v="6852875"/>
    <n v="5234965"/>
  </r>
  <r>
    <s v="SO0134"/>
    <x v="119"/>
    <s v="C0109"/>
    <s v="Customer 150"/>
    <s v="Hyderabad"/>
    <x v="3"/>
    <x v="1"/>
    <s v="Bookshelf"/>
    <n v="1"/>
    <n v="4200"/>
    <n v="0.1"/>
    <n v="1000"/>
    <s v="Home Office"/>
    <n v="3780"/>
    <n v="2780"/>
    <n v="6852290"/>
    <n v="5234580"/>
  </r>
  <r>
    <s v="SO0135"/>
    <x v="120"/>
    <s v="C0170"/>
    <s v="Customer 061"/>
    <s v="Hyderabad"/>
    <x v="3"/>
    <x v="0"/>
    <s v="Table Lamp"/>
    <n v="1"/>
    <n v="850"/>
    <n v="0.05"/>
    <n v="250"/>
    <s v="Consumer"/>
    <n v="807.5"/>
    <n v="557.5"/>
    <n v="6848510"/>
    <n v="5231800"/>
  </r>
  <r>
    <s v="SO0136"/>
    <x v="50"/>
    <s v="C0107"/>
    <s v="Customer 075"/>
    <s v="Hyderabad"/>
    <x v="0"/>
    <x v="3"/>
    <s v="Sneakers"/>
    <n v="4"/>
    <n v="2600"/>
    <n v="0.15"/>
    <n v="800"/>
    <s v="Home Office"/>
    <n v="8840"/>
    <n v="5640"/>
    <n v="6847702.5"/>
    <n v="5231242.5"/>
  </r>
  <r>
    <s v="SO0137"/>
    <x v="44"/>
    <s v="C0029"/>
    <s v="Customer 020"/>
    <s v="Mumbai"/>
    <x v="0"/>
    <x v="0"/>
    <s v="Mixer Grinder"/>
    <n v="3"/>
    <n v="2800"/>
    <n v="0"/>
    <n v="750"/>
    <s v="Consumer"/>
    <n v="8400"/>
    <n v="6150"/>
    <n v="6838862.5"/>
    <n v="5225602.5"/>
  </r>
  <r>
    <s v="SO0138"/>
    <x v="121"/>
    <s v="C0099"/>
    <s v="Customer 065"/>
    <s v="Kolkata"/>
    <x v="1"/>
    <x v="2"/>
    <s v="Wireless Mouse"/>
    <n v="4"/>
    <n v="650"/>
    <n v="0.1"/>
    <n v="200"/>
    <s v="Corporate"/>
    <n v="2340"/>
    <n v="1540"/>
    <n v="6830462.5"/>
    <n v="5219452.5"/>
  </r>
  <r>
    <s v="SO0139"/>
    <x v="89"/>
    <s v="C0053"/>
    <s v="Customer 018"/>
    <s v="Bengaluru"/>
    <x v="1"/>
    <x v="3"/>
    <s v="T-Shirt"/>
    <n v="1"/>
    <n v="550"/>
    <n v="0.15"/>
    <n v="180"/>
    <s v="Consumer"/>
    <n v="467.5"/>
    <n v="287.5"/>
    <n v="6828122.5"/>
    <n v="5217912.5"/>
  </r>
  <r>
    <s v="SO0140"/>
    <x v="74"/>
    <s v="C0097"/>
    <s v="Customer 088"/>
    <s v="Hyderabad"/>
    <x v="0"/>
    <x v="0"/>
    <s v="Cookware Set"/>
    <n v="2"/>
    <n v="2400"/>
    <n v="0.1"/>
    <n v="650"/>
    <s v="Consumer"/>
    <n v="4320"/>
    <n v="3020"/>
    <n v="6827655"/>
    <n v="5217625"/>
  </r>
  <r>
    <s v="SO0141"/>
    <x v="122"/>
    <s v="C0151"/>
    <s v="Customer 095"/>
    <s v="Delhi"/>
    <x v="1"/>
    <x v="0"/>
    <s v="Water Bottle"/>
    <n v="5"/>
    <n v="350"/>
    <n v="0"/>
    <n v="100"/>
    <s v="Home Office"/>
    <n v="1750"/>
    <n v="1250"/>
    <n v="6823335"/>
    <n v="5214605"/>
  </r>
  <r>
    <s v="SO0142"/>
    <x v="46"/>
    <s v="C0125"/>
    <s v="Customer 135"/>
    <s v="Mumbai"/>
    <x v="3"/>
    <x v="1"/>
    <s v="Study Table"/>
    <n v="4"/>
    <n v="8500"/>
    <n v="0.1"/>
    <n v="2100"/>
    <s v="Consumer"/>
    <n v="30600"/>
    <n v="22200"/>
    <n v="6821585"/>
    <n v="5213355"/>
  </r>
  <r>
    <s v="SO0143"/>
    <x v="123"/>
    <s v="C0026"/>
    <s v="Customer 165"/>
    <s v="Delhi"/>
    <x v="2"/>
    <x v="0"/>
    <s v="Cookware Set"/>
    <n v="2"/>
    <n v="2400"/>
    <n v="0.05"/>
    <n v="650"/>
    <s v="Home Office"/>
    <n v="4560"/>
    <n v="3260"/>
    <n v="6790985"/>
    <n v="5191155"/>
  </r>
  <r>
    <s v="SO0144"/>
    <x v="113"/>
    <s v="C0020"/>
    <s v="Customer 041"/>
    <s v="Delhi"/>
    <x v="2"/>
    <x v="2"/>
    <s v="Laptop"/>
    <n v="4"/>
    <n v="52000"/>
    <n v="0.15"/>
    <n v="9000"/>
    <s v="Home Office"/>
    <n v="176800"/>
    <n v="140800"/>
    <n v="6786425"/>
    <n v="5187895"/>
  </r>
  <r>
    <s v="SO0145"/>
    <x v="124"/>
    <s v="C0004"/>
    <s v="Customer 145"/>
    <s v="Jaipur"/>
    <x v="1"/>
    <x v="0"/>
    <s v="Table Lamp"/>
    <n v="2"/>
    <n v="850"/>
    <n v="0"/>
    <n v="250"/>
    <s v="Home Office"/>
    <n v="1700"/>
    <n v="1200"/>
    <n v="6609625"/>
    <n v="5047095"/>
  </r>
  <r>
    <s v="SO0146"/>
    <x v="76"/>
    <s v="C0063"/>
    <s v="Customer 071"/>
    <s v="Jaipur"/>
    <x v="1"/>
    <x v="2"/>
    <s v="Smartphone"/>
    <n v="2"/>
    <n v="18000"/>
    <n v="0.1"/>
    <n v="3000"/>
    <s v="Home Office"/>
    <n v="32400"/>
    <n v="26400"/>
    <n v="6607925"/>
    <n v="5045895"/>
  </r>
  <r>
    <s v="SO0147"/>
    <x v="125"/>
    <s v="C0080"/>
    <s v="Customer 156"/>
    <s v="Delhi"/>
    <x v="3"/>
    <x v="2"/>
    <s v="Headphones"/>
    <n v="2"/>
    <n v="1800"/>
    <n v="0.1"/>
    <n v="650"/>
    <s v="Corporate"/>
    <n v="3240"/>
    <n v="1940"/>
    <n v="6575525"/>
    <n v="5019495"/>
  </r>
  <r>
    <s v="SO0148"/>
    <x v="126"/>
    <s v="C0091"/>
    <s v="Customer 146"/>
    <s v="Hyderabad"/>
    <x v="1"/>
    <x v="0"/>
    <s v="Water Bottle"/>
    <n v="2"/>
    <n v="350"/>
    <n v="0.15"/>
    <n v="100"/>
    <s v="Corporate"/>
    <n v="595"/>
    <n v="395"/>
    <n v="6572285"/>
    <n v="5017555"/>
  </r>
  <r>
    <s v="SO0149"/>
    <x v="127"/>
    <s v="C0136"/>
    <s v="Customer 049"/>
    <s v="Bengaluru"/>
    <x v="2"/>
    <x v="0"/>
    <s v="Bedsheet"/>
    <n v="1"/>
    <n v="1200"/>
    <n v="0"/>
    <n v="350"/>
    <s v="Home Office"/>
    <n v="1200"/>
    <n v="850"/>
    <n v="6571690"/>
    <n v="5017160"/>
  </r>
  <r>
    <s v="SO0150"/>
    <x v="30"/>
    <s v="C0044"/>
    <s v="Customer 119"/>
    <s v="Pune"/>
    <x v="3"/>
    <x v="0"/>
    <s v="Water Bottle"/>
    <n v="4"/>
    <n v="350"/>
    <n v="0"/>
    <n v="100"/>
    <s v="Corporate"/>
    <n v="1400"/>
    <n v="1000"/>
    <n v="6570490"/>
    <n v="5016310"/>
  </r>
  <r>
    <s v="SO0151"/>
    <x v="128"/>
    <s v="C0133"/>
    <s v="Customer 102"/>
    <s v="Bengaluru"/>
    <x v="1"/>
    <x v="1"/>
    <s v="Sofa"/>
    <n v="3"/>
    <n v="22000"/>
    <n v="0.05"/>
    <n v="5000"/>
    <s v="Corporate"/>
    <n v="62700"/>
    <n v="47700"/>
    <n v="6569090"/>
    <n v="5015310"/>
  </r>
  <r>
    <s v="SO0152"/>
    <x v="129"/>
    <s v="C0127"/>
    <s v="Customer 070"/>
    <s v="Kolkata"/>
    <x v="2"/>
    <x v="3"/>
    <s v="Handbag"/>
    <n v="2"/>
    <n v="1900"/>
    <n v="0.15"/>
    <n v="600"/>
    <s v="Home Office"/>
    <n v="3230"/>
    <n v="2030"/>
    <n v="6506390"/>
    <n v="4967610"/>
  </r>
  <r>
    <s v="SO0153"/>
    <x v="130"/>
    <s v="C0038"/>
    <s v="Customer 112"/>
    <s v="Chennai"/>
    <x v="1"/>
    <x v="1"/>
    <s v="Sofa"/>
    <n v="1"/>
    <n v="22000"/>
    <n v="0.15"/>
    <n v="5000"/>
    <s v="Home Office"/>
    <n v="18700"/>
    <n v="13700"/>
    <n v="6503160"/>
    <n v="4965580"/>
  </r>
  <r>
    <s v="SO0154"/>
    <x v="128"/>
    <s v="C0091"/>
    <s v="Customer 096"/>
    <s v="Delhi"/>
    <x v="3"/>
    <x v="1"/>
    <s v="Dining Table"/>
    <n v="1"/>
    <n v="15000"/>
    <n v="0.1"/>
    <n v="3500"/>
    <s v="Corporate"/>
    <n v="13500"/>
    <n v="10000"/>
    <n v="6484460"/>
    <n v="4951880"/>
  </r>
  <r>
    <s v="SO0155"/>
    <x v="131"/>
    <s v="C0073"/>
    <s v="Customer 117"/>
    <s v="Chennai"/>
    <x v="3"/>
    <x v="0"/>
    <s v="Cookware Set"/>
    <n v="5"/>
    <n v="2400"/>
    <n v="0"/>
    <n v="650"/>
    <s v="Corporate"/>
    <n v="12000"/>
    <n v="8750"/>
    <n v="6470960"/>
    <n v="4941880"/>
  </r>
  <r>
    <s v="SO0156"/>
    <x v="132"/>
    <s v="C0151"/>
    <s v="Customer 030"/>
    <s v="Delhi"/>
    <x v="0"/>
    <x v="3"/>
    <s v="Jacket"/>
    <n v="1"/>
    <n v="3200"/>
    <n v="0"/>
    <n v="950"/>
    <s v="Consumer"/>
    <n v="3200"/>
    <n v="2250"/>
    <n v="6458960"/>
    <n v="4933130"/>
  </r>
  <r>
    <s v="SO0157"/>
    <x v="75"/>
    <s v="C0133"/>
    <s v="Customer 045"/>
    <s v="Pune"/>
    <x v="3"/>
    <x v="0"/>
    <s v="Water Bottle"/>
    <n v="1"/>
    <n v="350"/>
    <n v="0.1"/>
    <n v="100"/>
    <s v="Corporate"/>
    <n v="315"/>
    <n v="215"/>
    <n v="6455760"/>
    <n v="4930880"/>
  </r>
  <r>
    <s v="SO0158"/>
    <x v="133"/>
    <s v="C0012"/>
    <s v="Customer 171"/>
    <s v="Chennai"/>
    <x v="2"/>
    <x v="2"/>
    <s v="Headphones"/>
    <n v="3"/>
    <n v="1800"/>
    <n v="0"/>
    <n v="650"/>
    <s v="Home Office"/>
    <n v="5400"/>
    <n v="3450"/>
    <n v="6455445"/>
    <n v="4930665"/>
  </r>
  <r>
    <s v="SO0159"/>
    <x v="0"/>
    <s v="C0082"/>
    <s v="Customer 176"/>
    <s v="Hyderabad"/>
    <x v="1"/>
    <x v="0"/>
    <s v="Bedsheet"/>
    <n v="2"/>
    <n v="1200"/>
    <n v="0"/>
    <n v="350"/>
    <s v="Home Office"/>
    <n v="2400"/>
    <n v="1700"/>
    <n v="6450045"/>
    <n v="4927215"/>
  </r>
  <r>
    <s v="SO0160"/>
    <x v="134"/>
    <s v="C0090"/>
    <s v="Customer 017"/>
    <s v="Pune"/>
    <x v="1"/>
    <x v="3"/>
    <s v="Jeans"/>
    <n v="2"/>
    <n v="1400"/>
    <n v="0.15"/>
    <n v="450"/>
    <s v="Home Office"/>
    <n v="2380"/>
    <n v="1480"/>
    <n v="6447645"/>
    <n v="4925515"/>
  </r>
  <r>
    <s v="SO0161"/>
    <x v="9"/>
    <s v="C0084"/>
    <s v="Customer 169"/>
    <s v="Jaipur"/>
    <x v="3"/>
    <x v="3"/>
    <s v="T-Shirt"/>
    <n v="3"/>
    <n v="550"/>
    <n v="0"/>
    <n v="180"/>
    <s v="Home Office"/>
    <n v="1650"/>
    <n v="1110"/>
    <n v="6445265"/>
    <n v="4924035"/>
  </r>
  <r>
    <s v="SO0162"/>
    <x v="69"/>
    <s v="C0028"/>
    <s v="Customer 157"/>
    <s v="Hyderabad"/>
    <x v="1"/>
    <x v="3"/>
    <s v="Handbag"/>
    <n v="3"/>
    <n v="1900"/>
    <n v="0.1"/>
    <n v="600"/>
    <s v="Corporate"/>
    <n v="5130"/>
    <n v="3330"/>
    <n v="6443615"/>
    <n v="4922925"/>
  </r>
  <r>
    <s v="SO0163"/>
    <x v="135"/>
    <s v="C0025"/>
    <s v="Customer 037"/>
    <s v="Kolkata"/>
    <x v="1"/>
    <x v="3"/>
    <s v="T-Shirt"/>
    <n v="1"/>
    <n v="550"/>
    <n v="0.05"/>
    <n v="180"/>
    <s v="Corporate"/>
    <n v="522.5"/>
    <n v="342.5"/>
    <n v="6438485"/>
    <n v="4919595"/>
  </r>
  <r>
    <s v="SO0164"/>
    <x v="136"/>
    <s v="C0006"/>
    <s v="Customer 072"/>
    <s v="Chennai"/>
    <x v="1"/>
    <x v="2"/>
    <s v="Wireless Mouse"/>
    <n v="2"/>
    <n v="650"/>
    <n v="0.05"/>
    <n v="200"/>
    <s v="Consumer"/>
    <n v="1235"/>
    <n v="835"/>
    <n v="6437962.5"/>
    <n v="4919252.5"/>
  </r>
  <r>
    <s v="SO0165"/>
    <x v="137"/>
    <s v="C0007"/>
    <s v="Customer 001"/>
    <s v="Pune"/>
    <x v="3"/>
    <x v="3"/>
    <s v="Jeans"/>
    <n v="2"/>
    <n v="1400"/>
    <n v="0.1"/>
    <n v="450"/>
    <s v="Home Office"/>
    <n v="2520"/>
    <n v="1620"/>
    <n v="6436727.5"/>
    <n v="4918417.5"/>
  </r>
  <r>
    <s v="SO0166"/>
    <x v="138"/>
    <s v="C0075"/>
    <s v="Customer 059"/>
    <s v="Mumbai"/>
    <x v="0"/>
    <x v="0"/>
    <s v="Table Lamp"/>
    <n v="1"/>
    <n v="850"/>
    <n v="0"/>
    <n v="250"/>
    <s v="Home Office"/>
    <n v="850"/>
    <n v="600"/>
    <n v="6434207.5"/>
    <n v="4916797.5"/>
  </r>
  <r>
    <s v="SO0167"/>
    <x v="139"/>
    <s v="C0027"/>
    <s v="Customer 138"/>
    <s v="Hyderabad"/>
    <x v="0"/>
    <x v="0"/>
    <s v="Table Lamp"/>
    <n v="2"/>
    <n v="850"/>
    <n v="0.15"/>
    <n v="250"/>
    <s v="Home Office"/>
    <n v="1445"/>
    <n v="945"/>
    <n v="6433357.5"/>
    <n v="4916197.5"/>
  </r>
  <r>
    <s v="SO0168"/>
    <x v="55"/>
    <s v="C0133"/>
    <s v="Customer 109"/>
    <s v="Chennai"/>
    <x v="2"/>
    <x v="3"/>
    <s v="Jacket"/>
    <n v="3"/>
    <n v="3200"/>
    <n v="0.1"/>
    <n v="950"/>
    <s v="Consumer"/>
    <n v="8640"/>
    <n v="5790"/>
    <n v="6431912.5"/>
    <n v="4915252.5"/>
  </r>
  <r>
    <s v="SO0169"/>
    <x v="119"/>
    <s v="C0051"/>
    <s v="Customer 142"/>
    <s v="Hyderabad"/>
    <x v="1"/>
    <x v="2"/>
    <s v="Wireless Mouse"/>
    <n v="5"/>
    <n v="650"/>
    <n v="0.1"/>
    <n v="200"/>
    <s v="Corporate"/>
    <n v="2925"/>
    <n v="1925"/>
    <n v="6423272.5"/>
    <n v="4909462.5"/>
  </r>
  <r>
    <s v="SO0170"/>
    <x v="140"/>
    <s v="C0003"/>
    <s v="Customer 063"/>
    <s v="Bengaluru"/>
    <x v="1"/>
    <x v="2"/>
    <s v="Headphones"/>
    <n v="3"/>
    <n v="1800"/>
    <n v="0.1"/>
    <n v="650"/>
    <s v="Corporate"/>
    <n v="4860"/>
    <n v="2910"/>
    <n v="6420347.5"/>
    <n v="4907537.5"/>
  </r>
  <r>
    <s v="SO0171"/>
    <x v="141"/>
    <s v="C0115"/>
    <s v="Customer 150"/>
    <s v="Bengaluru"/>
    <x v="1"/>
    <x v="2"/>
    <s v="Smartphone"/>
    <n v="1"/>
    <n v="18000"/>
    <n v="0"/>
    <n v="3000"/>
    <s v="Corporate"/>
    <n v="18000"/>
    <n v="15000"/>
    <n v="6415487.5"/>
    <n v="4904627.5"/>
  </r>
  <r>
    <s v="SO0172"/>
    <x v="133"/>
    <s v="C0091"/>
    <s v="Customer 167"/>
    <s v="Delhi"/>
    <x v="3"/>
    <x v="1"/>
    <s v="Bookshelf"/>
    <n v="5"/>
    <n v="4200"/>
    <n v="0"/>
    <n v="1000"/>
    <s v="Corporate"/>
    <n v="21000"/>
    <n v="16000"/>
    <n v="6397487.5"/>
    <n v="4889627.5"/>
  </r>
  <r>
    <s v="SO0173"/>
    <x v="142"/>
    <s v="C0015"/>
    <s v="Customer 121"/>
    <s v="Mumbai"/>
    <x v="0"/>
    <x v="1"/>
    <s v="Dining Table"/>
    <n v="4"/>
    <n v="15000"/>
    <n v="0"/>
    <n v="3500"/>
    <s v="Consumer"/>
    <n v="60000"/>
    <n v="46000"/>
    <n v="6376487.5"/>
    <n v="4873627.5"/>
  </r>
  <r>
    <s v="SO0174"/>
    <x v="143"/>
    <s v="C0072"/>
    <s v="Customer 011"/>
    <s v="Kolkata"/>
    <x v="1"/>
    <x v="0"/>
    <s v="Table Lamp"/>
    <n v="4"/>
    <n v="850"/>
    <n v="0"/>
    <n v="250"/>
    <s v="Consumer"/>
    <n v="3400"/>
    <n v="2400"/>
    <n v="6316487.5"/>
    <n v="4827627.5"/>
  </r>
  <r>
    <s v="SO0175"/>
    <x v="141"/>
    <s v="C0100"/>
    <s v="Customer 056"/>
    <s v="Bengaluru"/>
    <x v="3"/>
    <x v="1"/>
    <s v="Study Table"/>
    <n v="4"/>
    <n v="8500"/>
    <n v="0"/>
    <n v="2100"/>
    <s v="Consumer"/>
    <n v="34000"/>
    <n v="25600"/>
    <n v="6313087.5"/>
    <n v="4825227.5"/>
  </r>
  <r>
    <s v="SO0176"/>
    <x v="144"/>
    <s v="C0033"/>
    <s v="Customer 005"/>
    <s v="Delhi"/>
    <x v="3"/>
    <x v="0"/>
    <s v="Mixer Grinder"/>
    <n v="4"/>
    <n v="2800"/>
    <n v="0.15"/>
    <n v="750"/>
    <s v="Home Office"/>
    <n v="9520"/>
    <n v="6520"/>
    <n v="6279087.5"/>
    <n v="4799627.5"/>
  </r>
  <r>
    <s v="SO0177"/>
    <x v="97"/>
    <s v="C0172"/>
    <s v="Customer 012"/>
    <s v="Mumbai"/>
    <x v="0"/>
    <x v="1"/>
    <s v="Office Chair"/>
    <n v="2"/>
    <n v="6500"/>
    <n v="0"/>
    <n v="1600"/>
    <s v="Consumer"/>
    <n v="13000"/>
    <n v="9800"/>
    <n v="6269567.5"/>
    <n v="4793107.5"/>
  </r>
  <r>
    <s v="SO0178"/>
    <x v="106"/>
    <s v="C0014"/>
    <s v="Customer 033"/>
    <s v="Bengaluru"/>
    <x v="0"/>
    <x v="1"/>
    <s v="Office Chair"/>
    <n v="1"/>
    <n v="6500"/>
    <n v="0"/>
    <n v="1600"/>
    <s v="Corporate"/>
    <n v="6500"/>
    <n v="4900"/>
    <n v="6256567.5"/>
    <n v="4783307.5"/>
  </r>
  <r>
    <s v="SO0179"/>
    <x v="145"/>
    <s v="C0044"/>
    <s v="Customer 050"/>
    <s v="Jaipur"/>
    <x v="0"/>
    <x v="1"/>
    <s v="Study Table"/>
    <n v="4"/>
    <n v="8500"/>
    <n v="0"/>
    <n v="2100"/>
    <s v="Corporate"/>
    <n v="34000"/>
    <n v="25600"/>
    <n v="6250067.5"/>
    <n v="4778407.5"/>
  </r>
  <r>
    <s v="SO0180"/>
    <x v="68"/>
    <s v="C0031"/>
    <s v="Customer 080"/>
    <s v="Jaipur"/>
    <x v="1"/>
    <x v="1"/>
    <s v="Study Table"/>
    <n v="4"/>
    <n v="8500"/>
    <n v="0.1"/>
    <n v="2100"/>
    <s v="Consumer"/>
    <n v="30600"/>
    <n v="22200"/>
    <n v="6216067.5"/>
    <n v="4752807.5"/>
  </r>
  <r>
    <s v="SO0181"/>
    <x v="121"/>
    <s v="C0114"/>
    <s v="Customer 140"/>
    <s v="Kolkata"/>
    <x v="2"/>
    <x v="1"/>
    <s v="Sofa"/>
    <n v="1"/>
    <n v="22000"/>
    <n v="0.1"/>
    <n v="5000"/>
    <s v="Consumer"/>
    <n v="19800"/>
    <n v="14800"/>
    <n v="6185467.5"/>
    <n v="4730607.5"/>
  </r>
  <r>
    <s v="SO0182"/>
    <x v="146"/>
    <s v="C0135"/>
    <s v="Customer 111"/>
    <s v="Jaipur"/>
    <x v="3"/>
    <x v="3"/>
    <s v="Jeans"/>
    <n v="4"/>
    <n v="1400"/>
    <n v="0.05"/>
    <n v="450"/>
    <s v="Home Office"/>
    <n v="5320"/>
    <n v="3520"/>
    <n v="6165667.5"/>
    <n v="4715807.5"/>
  </r>
  <r>
    <s v="SO0183"/>
    <x v="147"/>
    <s v="C0009"/>
    <s v="Customer 104"/>
    <s v="Chennai"/>
    <x v="0"/>
    <x v="2"/>
    <s v="Headphones"/>
    <n v="1"/>
    <n v="1800"/>
    <n v="0.1"/>
    <n v="650"/>
    <s v="Corporate"/>
    <n v="1620"/>
    <n v="970"/>
    <n v="6160347.5"/>
    <n v="4712287.5"/>
  </r>
  <r>
    <s v="SO0184"/>
    <x v="148"/>
    <s v="C0035"/>
    <s v="Customer 013"/>
    <s v="Chennai"/>
    <x v="2"/>
    <x v="2"/>
    <s v="Keyboard"/>
    <n v="2"/>
    <n v="950"/>
    <n v="0.15"/>
    <n v="300"/>
    <s v="Corporate"/>
    <n v="1615"/>
    <n v="1015"/>
    <n v="6158727.5"/>
    <n v="4711317.5"/>
  </r>
  <r>
    <s v="SO0185"/>
    <x v="36"/>
    <s v="C0027"/>
    <s v="Customer 132"/>
    <s v="Bengaluru"/>
    <x v="1"/>
    <x v="0"/>
    <s v="Table Lamp"/>
    <n v="5"/>
    <n v="850"/>
    <n v="0.1"/>
    <n v="250"/>
    <s v="Corporate"/>
    <n v="3825"/>
    <n v="2575"/>
    <n v="6157112.5"/>
    <n v="4710302.5"/>
  </r>
  <r>
    <s v="SO0186"/>
    <x v="149"/>
    <s v="C0172"/>
    <s v="Customer 105"/>
    <s v="Bengaluru"/>
    <x v="2"/>
    <x v="2"/>
    <s v="Laptop"/>
    <n v="5"/>
    <n v="52000"/>
    <n v="0.05"/>
    <n v="9000"/>
    <s v="Consumer"/>
    <n v="247000"/>
    <n v="202000"/>
    <n v="6153287.5"/>
    <n v="4707727.5"/>
  </r>
  <r>
    <s v="SO0187"/>
    <x v="150"/>
    <s v="C0137"/>
    <s v="Customer 169"/>
    <s v="Jaipur"/>
    <x v="3"/>
    <x v="2"/>
    <s v="Keyboard"/>
    <n v="2"/>
    <n v="950"/>
    <n v="0.05"/>
    <n v="300"/>
    <s v="Consumer"/>
    <n v="1805"/>
    <n v="1205"/>
    <n v="5906287.5"/>
    <n v="4505727.5"/>
  </r>
  <r>
    <s v="SO0188"/>
    <x v="151"/>
    <s v="C0009"/>
    <s v="Customer 056"/>
    <s v="Delhi"/>
    <x v="3"/>
    <x v="1"/>
    <s v="Bookshelf"/>
    <n v="2"/>
    <n v="4200"/>
    <n v="0.15"/>
    <n v="1000"/>
    <s v="Home Office"/>
    <n v="7140"/>
    <n v="5140"/>
    <n v="5904482.5"/>
    <n v="4504522.5"/>
  </r>
  <r>
    <s v="SO0189"/>
    <x v="120"/>
    <s v="C0071"/>
    <s v="Customer 065"/>
    <s v="Mumbai"/>
    <x v="0"/>
    <x v="3"/>
    <s v="Sneakers"/>
    <n v="2"/>
    <n v="2600"/>
    <n v="0"/>
    <n v="800"/>
    <s v="Consumer"/>
    <n v="5200"/>
    <n v="3600"/>
    <n v="5897342.5"/>
    <n v="4499382.5"/>
  </r>
  <r>
    <s v="SO0190"/>
    <x v="152"/>
    <s v="C0024"/>
    <s v="Customer 155"/>
    <s v="Delhi"/>
    <x v="2"/>
    <x v="0"/>
    <s v="Bedsheet"/>
    <n v="4"/>
    <n v="1200"/>
    <n v="0.05"/>
    <n v="350"/>
    <s v="Corporate"/>
    <n v="4560"/>
    <n v="3160"/>
    <n v="5892142.5"/>
    <n v="4495782.5"/>
  </r>
  <r>
    <s v="SO0191"/>
    <x v="153"/>
    <s v="C0160"/>
    <s v="Customer 052"/>
    <s v="Pune"/>
    <x v="0"/>
    <x v="0"/>
    <s v="Bedsheet"/>
    <n v="2"/>
    <n v="1200"/>
    <n v="0"/>
    <n v="350"/>
    <s v="Corporate"/>
    <n v="2400"/>
    <n v="1700"/>
    <n v="5887582.5"/>
    <n v="4492622.5"/>
  </r>
  <r>
    <s v="SO0192"/>
    <x v="154"/>
    <s v="C0177"/>
    <s v="Customer 035"/>
    <s v="Pune"/>
    <x v="0"/>
    <x v="3"/>
    <s v="T-Shirt"/>
    <n v="3"/>
    <n v="550"/>
    <n v="0"/>
    <n v="180"/>
    <s v="Consumer"/>
    <n v="1650"/>
    <n v="1110"/>
    <n v="5885182.5"/>
    <n v="4490922.5"/>
  </r>
  <r>
    <s v="SO0193"/>
    <x v="155"/>
    <s v="C0026"/>
    <s v="Customer 025"/>
    <s v="Hyderabad"/>
    <x v="0"/>
    <x v="0"/>
    <s v="Mixer Grinder"/>
    <n v="5"/>
    <n v="2800"/>
    <n v="0"/>
    <n v="750"/>
    <s v="Consumer"/>
    <n v="14000"/>
    <n v="10250"/>
    <n v="5883532.5"/>
    <n v="4489812.5"/>
  </r>
  <r>
    <s v="SO0194"/>
    <x v="156"/>
    <s v="C0161"/>
    <s v="Customer 144"/>
    <s v="Bengaluru"/>
    <x v="3"/>
    <x v="1"/>
    <s v="Sofa"/>
    <n v="5"/>
    <n v="22000"/>
    <n v="0"/>
    <n v="5000"/>
    <s v="Consumer"/>
    <n v="110000"/>
    <n v="85000"/>
    <n v="5869532.5"/>
    <n v="4479562.5"/>
  </r>
  <r>
    <s v="SO0195"/>
    <x v="157"/>
    <s v="C0029"/>
    <s v="Customer 060"/>
    <s v="Hyderabad"/>
    <x v="2"/>
    <x v="1"/>
    <s v="Bookshelf"/>
    <n v="4"/>
    <n v="4200"/>
    <n v="0"/>
    <n v="1000"/>
    <s v="Corporate"/>
    <n v="16800"/>
    <n v="12800"/>
    <n v="5759532.5"/>
    <n v="4394562.5"/>
  </r>
  <r>
    <s v="SO0196"/>
    <x v="158"/>
    <s v="C0166"/>
    <s v="Customer 167"/>
    <s v="Chennai"/>
    <x v="1"/>
    <x v="1"/>
    <s v="Sofa"/>
    <n v="2"/>
    <n v="22000"/>
    <n v="0"/>
    <n v="5000"/>
    <s v="Consumer"/>
    <n v="44000"/>
    <n v="34000"/>
    <n v="5742732.5"/>
    <n v="4381762.5"/>
  </r>
  <r>
    <s v="SO0197"/>
    <x v="159"/>
    <s v="C0168"/>
    <s v="Customer 016"/>
    <s v="Delhi"/>
    <x v="1"/>
    <x v="0"/>
    <s v="Table Lamp"/>
    <n v="5"/>
    <n v="850"/>
    <n v="0.05"/>
    <n v="250"/>
    <s v="Corporate"/>
    <n v="4037.5"/>
    <n v="2787.5"/>
    <n v="5698732.5"/>
    <n v="4347762.5"/>
  </r>
  <r>
    <s v="SO0198"/>
    <x v="160"/>
    <s v="C0099"/>
    <s v="Customer 077"/>
    <s v="Hyderabad"/>
    <x v="2"/>
    <x v="0"/>
    <s v="Mixer Grinder"/>
    <n v="5"/>
    <n v="2800"/>
    <n v="0"/>
    <n v="750"/>
    <s v="Consumer"/>
    <n v="14000"/>
    <n v="10250"/>
    <n v="5694695"/>
    <n v="4344975"/>
  </r>
  <r>
    <s v="SO0199"/>
    <x v="44"/>
    <s v="C0037"/>
    <s v="Customer 095"/>
    <s v="Bengaluru"/>
    <x v="0"/>
    <x v="2"/>
    <s v="Headphones"/>
    <n v="5"/>
    <n v="1800"/>
    <n v="0"/>
    <n v="650"/>
    <s v="Corporate"/>
    <n v="9000"/>
    <n v="5750"/>
    <n v="5680695"/>
    <n v="4334725"/>
  </r>
  <r>
    <s v="SO0200"/>
    <x v="161"/>
    <s v="C0100"/>
    <s v="Customer 073"/>
    <s v="Hyderabad"/>
    <x v="0"/>
    <x v="1"/>
    <s v="Office Chair"/>
    <n v="1"/>
    <n v="6500"/>
    <n v="0"/>
    <n v="1600"/>
    <s v="Corporate"/>
    <n v="6500"/>
    <n v="4900"/>
    <n v="5671695"/>
    <n v="4328975"/>
  </r>
  <r>
    <s v="SO0201"/>
    <x v="65"/>
    <s v="C0023"/>
    <s v="Customer 071"/>
    <s v="Pune"/>
    <x v="1"/>
    <x v="1"/>
    <s v="Bookshelf"/>
    <n v="3"/>
    <n v="4200"/>
    <n v="0.05"/>
    <n v="1000"/>
    <s v="Corporate"/>
    <n v="11970"/>
    <n v="8970"/>
    <n v="5665195"/>
    <n v="4324075"/>
  </r>
  <r>
    <s v="SO0202"/>
    <x v="162"/>
    <s v="C0048"/>
    <s v="Customer 111"/>
    <s v="Hyderabad"/>
    <x v="2"/>
    <x v="3"/>
    <s v="Sneakers"/>
    <n v="3"/>
    <n v="2600"/>
    <n v="0"/>
    <n v="800"/>
    <s v="Home Office"/>
    <n v="7800"/>
    <n v="5400"/>
    <n v="5653225"/>
    <n v="4315105"/>
  </r>
  <r>
    <s v="SO0203"/>
    <x v="163"/>
    <s v="C0078"/>
    <s v="Customer 129"/>
    <s v="Pune"/>
    <x v="3"/>
    <x v="2"/>
    <s v="Wireless Mouse"/>
    <n v="2"/>
    <n v="650"/>
    <n v="0.15"/>
    <n v="200"/>
    <s v="Home Office"/>
    <n v="1105"/>
    <n v="705"/>
    <n v="5645425"/>
    <n v="4309705"/>
  </r>
  <r>
    <s v="SO0204"/>
    <x v="102"/>
    <s v="C0163"/>
    <s v="Customer 166"/>
    <s v="Bengaluru"/>
    <x v="2"/>
    <x v="2"/>
    <s v="Laptop"/>
    <n v="2"/>
    <n v="52000"/>
    <n v="0.1"/>
    <n v="9000"/>
    <s v="Corporate"/>
    <n v="93600"/>
    <n v="75600"/>
    <n v="5644320"/>
    <n v="4309000"/>
  </r>
  <r>
    <s v="SO0205"/>
    <x v="164"/>
    <s v="C0139"/>
    <s v="Customer 151"/>
    <s v="Mumbai"/>
    <x v="0"/>
    <x v="2"/>
    <s v="Laptop"/>
    <n v="5"/>
    <n v="52000"/>
    <n v="0.15"/>
    <n v="9000"/>
    <s v="Home Office"/>
    <n v="221000"/>
    <n v="176000"/>
    <n v="5550720"/>
    <n v="4233400"/>
  </r>
  <r>
    <s v="SO0206"/>
    <x v="165"/>
    <s v="C0037"/>
    <s v="Customer 175"/>
    <s v="Delhi"/>
    <x v="1"/>
    <x v="0"/>
    <s v="Cookware Set"/>
    <n v="4"/>
    <n v="2400"/>
    <n v="0.1"/>
    <n v="650"/>
    <s v="Consumer"/>
    <n v="8640"/>
    <n v="6040"/>
    <n v="5329720"/>
    <n v="4057400"/>
  </r>
  <r>
    <s v="SO0207"/>
    <x v="122"/>
    <s v="C0003"/>
    <s v="Customer 012"/>
    <s v="Chennai"/>
    <x v="0"/>
    <x v="3"/>
    <s v="Jacket"/>
    <n v="2"/>
    <n v="3200"/>
    <n v="0"/>
    <n v="950"/>
    <s v="Home Office"/>
    <n v="6400"/>
    <n v="4500"/>
    <n v="5321080"/>
    <n v="4051360"/>
  </r>
  <r>
    <s v="SO0208"/>
    <x v="11"/>
    <s v="C0102"/>
    <s v="Customer 047"/>
    <s v="Mumbai"/>
    <x v="0"/>
    <x v="3"/>
    <s v="T-Shirt"/>
    <n v="3"/>
    <n v="550"/>
    <n v="0.15"/>
    <n v="180"/>
    <s v="Home Office"/>
    <n v="1402.5"/>
    <n v="862.5"/>
    <n v="5314680"/>
    <n v="4046860"/>
  </r>
  <r>
    <s v="SO0209"/>
    <x v="166"/>
    <s v="C0103"/>
    <s v="Customer 023"/>
    <s v="Bengaluru"/>
    <x v="2"/>
    <x v="2"/>
    <s v="Headphones"/>
    <n v="1"/>
    <n v="1800"/>
    <n v="0.1"/>
    <n v="650"/>
    <s v="Home Office"/>
    <n v="1620"/>
    <n v="970"/>
    <n v="5313277.5"/>
    <n v="4045997.5"/>
  </r>
  <r>
    <s v="SO0210"/>
    <x v="103"/>
    <s v="C0153"/>
    <s v="Customer 050"/>
    <s v="Jaipur"/>
    <x v="2"/>
    <x v="1"/>
    <s v="Bookshelf"/>
    <n v="2"/>
    <n v="4200"/>
    <n v="0"/>
    <n v="1000"/>
    <s v="Home Office"/>
    <n v="8400"/>
    <n v="6400"/>
    <n v="5311657.5"/>
    <n v="4045027.5"/>
  </r>
  <r>
    <s v="SO0211"/>
    <x v="167"/>
    <s v="C0161"/>
    <s v="Customer 157"/>
    <s v="Jaipur"/>
    <x v="1"/>
    <x v="2"/>
    <s v="Keyboard"/>
    <n v="3"/>
    <n v="950"/>
    <n v="0.1"/>
    <n v="300"/>
    <s v="Consumer"/>
    <n v="2565"/>
    <n v="1665"/>
    <n v="5303257.5"/>
    <n v="4038627.5"/>
  </r>
  <r>
    <s v="SO0212"/>
    <x v="119"/>
    <s v="C0128"/>
    <s v="Customer 072"/>
    <s v="Bengaluru"/>
    <x v="2"/>
    <x v="2"/>
    <s v="Wireless Mouse"/>
    <n v="3"/>
    <n v="650"/>
    <n v="0.1"/>
    <n v="200"/>
    <s v="Home Office"/>
    <n v="1755"/>
    <n v="1155"/>
    <n v="5300692.5"/>
    <n v="4036962.5"/>
  </r>
  <r>
    <s v="SO0213"/>
    <x v="168"/>
    <s v="C0119"/>
    <s v="Customer 085"/>
    <s v="Pune"/>
    <x v="3"/>
    <x v="3"/>
    <s v="Handbag"/>
    <n v="4"/>
    <n v="1900"/>
    <n v="0.15"/>
    <n v="600"/>
    <s v="Home Office"/>
    <n v="6460"/>
    <n v="4060"/>
    <n v="5298937.5"/>
    <n v="4035807.5"/>
  </r>
  <r>
    <s v="SO0214"/>
    <x v="126"/>
    <s v="C0042"/>
    <s v="Customer 125"/>
    <s v="Pune"/>
    <x v="0"/>
    <x v="3"/>
    <s v="Jeans"/>
    <n v="5"/>
    <n v="1400"/>
    <n v="0.05"/>
    <n v="450"/>
    <s v="Corporate"/>
    <n v="6650"/>
    <n v="4400"/>
    <n v="5292477.5"/>
    <n v="4031747.5"/>
  </r>
  <r>
    <s v="SO0215"/>
    <x v="169"/>
    <s v="C0067"/>
    <s v="Customer 052"/>
    <s v="Kolkata"/>
    <x v="2"/>
    <x v="1"/>
    <s v="Study Table"/>
    <n v="5"/>
    <n v="8500"/>
    <n v="0.05"/>
    <n v="2100"/>
    <s v="Consumer"/>
    <n v="40375"/>
    <n v="29875"/>
    <n v="5285827.5"/>
    <n v="4027347.5"/>
  </r>
  <r>
    <s v="SO0216"/>
    <x v="170"/>
    <s v="C0164"/>
    <s v="Customer 069"/>
    <s v="Mumbai"/>
    <x v="0"/>
    <x v="0"/>
    <s v="Mixer Grinder"/>
    <n v="3"/>
    <n v="2800"/>
    <n v="0"/>
    <n v="750"/>
    <s v="Consumer"/>
    <n v="8400"/>
    <n v="6150"/>
    <n v="5245452.5"/>
    <n v="3997472.5"/>
  </r>
  <r>
    <s v="SO0217"/>
    <x v="40"/>
    <s v="C0063"/>
    <s v="Customer 149"/>
    <s v="Bengaluru"/>
    <x v="2"/>
    <x v="2"/>
    <s v="Smartphone"/>
    <n v="3"/>
    <n v="18000"/>
    <n v="0.15"/>
    <n v="3000"/>
    <s v="Home Office"/>
    <n v="45900"/>
    <n v="36900"/>
    <n v="5237052.5"/>
    <n v="3991322.5"/>
  </r>
  <r>
    <s v="SO0218"/>
    <x v="171"/>
    <s v="C0108"/>
    <s v="Customer 065"/>
    <s v="Pune"/>
    <x v="1"/>
    <x v="0"/>
    <s v="Water Bottle"/>
    <n v="1"/>
    <n v="350"/>
    <n v="0.05"/>
    <n v="100"/>
    <s v="Consumer"/>
    <n v="332.5"/>
    <n v="232.5"/>
    <n v="5191152.5"/>
    <n v="3954422.5"/>
  </r>
  <r>
    <s v="SO0219"/>
    <x v="81"/>
    <s v="C0121"/>
    <s v="Customer 145"/>
    <s v="Mumbai"/>
    <x v="1"/>
    <x v="2"/>
    <s v="Headphones"/>
    <n v="4"/>
    <n v="1800"/>
    <n v="0.05"/>
    <n v="650"/>
    <s v="Corporate"/>
    <n v="6840"/>
    <n v="4240"/>
    <n v="5190820"/>
    <n v="3954190"/>
  </r>
  <r>
    <s v="SO0220"/>
    <x v="172"/>
    <s v="C0077"/>
    <s v="Customer 035"/>
    <s v="Mumbai"/>
    <x v="3"/>
    <x v="0"/>
    <s v="Water Bottle"/>
    <n v="2"/>
    <n v="350"/>
    <n v="0.1"/>
    <n v="100"/>
    <s v="Corporate"/>
    <n v="630"/>
    <n v="430"/>
    <n v="5183980"/>
    <n v="3949950"/>
  </r>
  <r>
    <s v="SO0221"/>
    <x v="56"/>
    <s v="C0134"/>
    <s v="Customer 068"/>
    <s v="Mumbai"/>
    <x v="0"/>
    <x v="3"/>
    <s v="Jacket"/>
    <n v="4"/>
    <n v="3200"/>
    <n v="0.15"/>
    <n v="950"/>
    <s v="Home Office"/>
    <n v="10880"/>
    <n v="7080"/>
    <n v="5183350"/>
    <n v="3949520"/>
  </r>
  <r>
    <s v="SO0222"/>
    <x v="173"/>
    <s v="C0082"/>
    <s v="Customer 162"/>
    <s v="Bengaluru"/>
    <x v="1"/>
    <x v="0"/>
    <s v="Mixer Grinder"/>
    <n v="1"/>
    <n v="2800"/>
    <n v="0.05"/>
    <n v="750"/>
    <s v="Home Office"/>
    <n v="2660"/>
    <n v="1910"/>
    <n v="5172470"/>
    <n v="3942440"/>
  </r>
  <r>
    <s v="SO0223"/>
    <x v="174"/>
    <s v="C0029"/>
    <s v="Customer 150"/>
    <s v="Bengaluru"/>
    <x v="0"/>
    <x v="1"/>
    <s v="Bookshelf"/>
    <n v="5"/>
    <n v="4200"/>
    <n v="0"/>
    <n v="1000"/>
    <s v="Home Office"/>
    <n v="21000"/>
    <n v="16000"/>
    <n v="5169810"/>
    <n v="3940530"/>
  </r>
  <r>
    <s v="SO0224"/>
    <x v="175"/>
    <s v="C0164"/>
    <s v="Customer 087"/>
    <s v="Jaipur"/>
    <x v="2"/>
    <x v="1"/>
    <s v="Bookshelf"/>
    <n v="1"/>
    <n v="4200"/>
    <n v="0.15"/>
    <n v="1000"/>
    <s v="Corporate"/>
    <n v="3570"/>
    <n v="2570"/>
    <n v="5148810"/>
    <n v="3924530"/>
  </r>
  <r>
    <s v="SO0225"/>
    <x v="176"/>
    <s v="C0099"/>
    <s v="Customer 174"/>
    <s v="Hyderabad"/>
    <x v="2"/>
    <x v="2"/>
    <s v="Wireless Mouse"/>
    <n v="3"/>
    <n v="650"/>
    <n v="0.05"/>
    <n v="200"/>
    <s v="Corporate"/>
    <n v="1852.5"/>
    <n v="1252.5"/>
    <n v="5145240"/>
    <n v="3921960"/>
  </r>
  <r>
    <s v="SO0226"/>
    <x v="177"/>
    <s v="C0168"/>
    <s v="Customer 056"/>
    <s v="Mumbai"/>
    <x v="3"/>
    <x v="0"/>
    <s v="Table Lamp"/>
    <n v="1"/>
    <n v="850"/>
    <n v="0.15"/>
    <n v="250"/>
    <s v="Corporate"/>
    <n v="722.5"/>
    <n v="472.5"/>
    <n v="5143387.5"/>
    <n v="3920707.5"/>
  </r>
  <r>
    <s v="SO0227"/>
    <x v="165"/>
    <s v="C0072"/>
    <s v="Customer 107"/>
    <s v="Bengaluru"/>
    <x v="2"/>
    <x v="3"/>
    <s v="Handbag"/>
    <n v="3"/>
    <n v="1900"/>
    <n v="0.05"/>
    <n v="600"/>
    <s v="Home Office"/>
    <n v="5415"/>
    <n v="3615"/>
    <n v="5142665"/>
    <n v="3920235"/>
  </r>
  <r>
    <s v="SO0228"/>
    <x v="145"/>
    <s v="C0148"/>
    <s v="Customer 051"/>
    <s v="Bengaluru"/>
    <x v="0"/>
    <x v="3"/>
    <s v="Sneakers"/>
    <n v="5"/>
    <n v="2600"/>
    <n v="0.15"/>
    <n v="800"/>
    <s v="Consumer"/>
    <n v="11050"/>
    <n v="7050"/>
    <n v="5137250"/>
    <n v="3916620"/>
  </r>
  <r>
    <s v="SO0229"/>
    <x v="67"/>
    <s v="C0160"/>
    <s v="Customer 058"/>
    <s v="Bengaluru"/>
    <x v="2"/>
    <x v="3"/>
    <s v="Jacket"/>
    <n v="5"/>
    <n v="3200"/>
    <n v="0"/>
    <n v="950"/>
    <s v="Home Office"/>
    <n v="16000"/>
    <n v="11250"/>
    <n v="5126200"/>
    <n v="3909570"/>
  </r>
  <r>
    <s v="SO0230"/>
    <x v="20"/>
    <s v="C0020"/>
    <s v="Customer 089"/>
    <s v="Bengaluru"/>
    <x v="2"/>
    <x v="2"/>
    <s v="Wireless Mouse"/>
    <n v="2"/>
    <n v="650"/>
    <n v="0"/>
    <n v="200"/>
    <s v="Consumer"/>
    <n v="1300"/>
    <n v="900"/>
    <n v="5110200"/>
    <n v="3898320"/>
  </r>
  <r>
    <s v="SO0231"/>
    <x v="178"/>
    <s v="C0101"/>
    <s v="Customer 031"/>
    <s v="Kolkata"/>
    <x v="1"/>
    <x v="1"/>
    <s v="Office Chair"/>
    <n v="2"/>
    <n v="6500"/>
    <n v="0"/>
    <n v="1600"/>
    <s v="Home Office"/>
    <n v="13000"/>
    <n v="9800"/>
    <n v="5108900"/>
    <n v="3897420"/>
  </r>
  <r>
    <s v="SO0232"/>
    <x v="179"/>
    <s v="C0028"/>
    <s v="Customer 002"/>
    <s v="Bengaluru"/>
    <x v="3"/>
    <x v="2"/>
    <s v="Smartphone"/>
    <n v="3"/>
    <n v="18000"/>
    <n v="0.05"/>
    <n v="3000"/>
    <s v="Consumer"/>
    <n v="51300"/>
    <n v="42300"/>
    <n v="5095900"/>
    <n v="3887620"/>
  </r>
  <r>
    <s v="SO0233"/>
    <x v="121"/>
    <s v="C0090"/>
    <s v="Customer 130"/>
    <s v="Mumbai"/>
    <x v="0"/>
    <x v="0"/>
    <s v="Water Bottle"/>
    <n v="5"/>
    <n v="350"/>
    <n v="0.1"/>
    <n v="100"/>
    <s v="Home Office"/>
    <n v="1575"/>
    <n v="1075"/>
    <n v="5044600"/>
    <n v="3845320"/>
  </r>
  <r>
    <s v="SO0234"/>
    <x v="173"/>
    <s v="C0090"/>
    <s v="Customer 117"/>
    <s v="Mumbai"/>
    <x v="1"/>
    <x v="3"/>
    <s v="Sneakers"/>
    <n v="2"/>
    <n v="2600"/>
    <n v="0.05"/>
    <n v="800"/>
    <s v="Home Office"/>
    <n v="4940"/>
    <n v="3340"/>
    <n v="5043025"/>
    <n v="3844245"/>
  </r>
  <r>
    <s v="SO0235"/>
    <x v="55"/>
    <s v="C0075"/>
    <s v="Customer 070"/>
    <s v="Pune"/>
    <x v="3"/>
    <x v="3"/>
    <s v="T-Shirt"/>
    <n v="2"/>
    <n v="550"/>
    <n v="0"/>
    <n v="180"/>
    <s v="Consumer"/>
    <n v="1100"/>
    <n v="740"/>
    <n v="5038085"/>
    <n v="3840905"/>
  </r>
  <r>
    <s v="SO0236"/>
    <x v="180"/>
    <s v="C0057"/>
    <s v="Customer 058"/>
    <s v="Mumbai"/>
    <x v="2"/>
    <x v="0"/>
    <s v="Cookware Set"/>
    <n v="5"/>
    <n v="2400"/>
    <n v="0.15"/>
    <n v="650"/>
    <s v="Corporate"/>
    <n v="10200"/>
    <n v="6950"/>
    <n v="5036985"/>
    <n v="3840165"/>
  </r>
  <r>
    <s v="SO0237"/>
    <x v="181"/>
    <s v="C0004"/>
    <s v="Customer 024"/>
    <s v="Hyderabad"/>
    <x v="3"/>
    <x v="3"/>
    <s v="Sneakers"/>
    <n v="2"/>
    <n v="2600"/>
    <n v="0"/>
    <n v="800"/>
    <s v="Home Office"/>
    <n v="5200"/>
    <n v="3600"/>
    <n v="5026785"/>
    <n v="3833215"/>
  </r>
  <r>
    <s v="SO0238"/>
    <x v="182"/>
    <s v="C0001"/>
    <s v="Customer 023"/>
    <s v="Kolkata"/>
    <x v="1"/>
    <x v="3"/>
    <s v="T-Shirt"/>
    <n v="5"/>
    <n v="550"/>
    <n v="0.1"/>
    <n v="180"/>
    <s v="Consumer"/>
    <n v="2475"/>
    <n v="1575"/>
    <n v="5021585"/>
    <n v="3829615"/>
  </r>
  <r>
    <s v="SO0239"/>
    <x v="183"/>
    <s v="C0180"/>
    <s v="Customer 113"/>
    <s v="Jaipur"/>
    <x v="2"/>
    <x v="0"/>
    <s v="Table Lamp"/>
    <n v="5"/>
    <n v="850"/>
    <n v="0.15"/>
    <n v="250"/>
    <s v="Corporate"/>
    <n v="3612.5"/>
    <n v="2362.5"/>
    <n v="5019110"/>
    <n v="3828040"/>
  </r>
  <r>
    <s v="SO0240"/>
    <x v="82"/>
    <s v="C0018"/>
    <s v="Customer 106"/>
    <s v="Chennai"/>
    <x v="0"/>
    <x v="3"/>
    <s v="Jeans"/>
    <n v="1"/>
    <n v="1400"/>
    <n v="0"/>
    <n v="450"/>
    <s v="Home Office"/>
    <n v="1400"/>
    <n v="950"/>
    <n v="5015497.5"/>
    <n v="3825677.5"/>
  </r>
  <r>
    <s v="SO0241"/>
    <x v="184"/>
    <s v="C0023"/>
    <s v="Customer 076"/>
    <s v="Kolkata"/>
    <x v="2"/>
    <x v="3"/>
    <s v="Jacket"/>
    <n v="1"/>
    <n v="3200"/>
    <n v="0.1"/>
    <n v="950"/>
    <s v="Corporate"/>
    <n v="2880"/>
    <n v="1930"/>
    <n v="5014097.5"/>
    <n v="3824727.5"/>
  </r>
  <r>
    <s v="SO0242"/>
    <x v="185"/>
    <s v="C0071"/>
    <s v="Customer 166"/>
    <s v="Mumbai"/>
    <x v="2"/>
    <x v="1"/>
    <s v="Dining Table"/>
    <n v="4"/>
    <n v="15000"/>
    <n v="0.1"/>
    <n v="3500"/>
    <s v="Home Office"/>
    <n v="54000"/>
    <n v="40000"/>
    <n v="5011217.5"/>
    <n v="3822797.5"/>
  </r>
  <r>
    <s v="SO0243"/>
    <x v="177"/>
    <s v="C0007"/>
    <s v="Customer 160"/>
    <s v="Pune"/>
    <x v="3"/>
    <x v="1"/>
    <s v="Dining Table"/>
    <n v="5"/>
    <n v="15000"/>
    <n v="0.1"/>
    <n v="3500"/>
    <s v="Corporate"/>
    <n v="67500"/>
    <n v="50000"/>
    <n v="4957217.5"/>
    <n v="3782797.5"/>
  </r>
  <r>
    <s v="SO0244"/>
    <x v="186"/>
    <s v="C0114"/>
    <s v="Customer 128"/>
    <s v="Pune"/>
    <x v="2"/>
    <x v="0"/>
    <s v="Cookware Set"/>
    <n v="2"/>
    <n v="2400"/>
    <n v="0.05"/>
    <n v="650"/>
    <s v="Corporate"/>
    <n v="4560"/>
    <n v="3260"/>
    <n v="4889717.5"/>
    <n v="3732797.5"/>
  </r>
  <r>
    <s v="SO0245"/>
    <x v="17"/>
    <s v="C0119"/>
    <s v="Customer 042"/>
    <s v="Bengaluru"/>
    <x v="3"/>
    <x v="0"/>
    <s v="Bedsheet"/>
    <n v="2"/>
    <n v="1200"/>
    <n v="0"/>
    <n v="350"/>
    <s v="Consumer"/>
    <n v="2400"/>
    <n v="1700"/>
    <n v="4885157.5"/>
    <n v="3729537.5"/>
  </r>
  <r>
    <s v="SO0246"/>
    <x v="139"/>
    <s v="C0111"/>
    <s v="Customer 175"/>
    <s v="Hyderabad"/>
    <x v="1"/>
    <x v="0"/>
    <s v="Bedsheet"/>
    <n v="5"/>
    <n v="1200"/>
    <n v="0"/>
    <n v="350"/>
    <s v="Home Office"/>
    <n v="6000"/>
    <n v="4250"/>
    <n v="4882757.5"/>
    <n v="3727837.5"/>
  </r>
  <r>
    <s v="SO0247"/>
    <x v="187"/>
    <s v="C0097"/>
    <s v="Customer 138"/>
    <s v="Kolkata"/>
    <x v="2"/>
    <x v="0"/>
    <s v="Cookware Set"/>
    <n v="3"/>
    <n v="2400"/>
    <n v="0.15"/>
    <n v="650"/>
    <s v="Corporate"/>
    <n v="6120"/>
    <n v="4170"/>
    <n v="4876757.5"/>
    <n v="3723587.5"/>
  </r>
  <r>
    <s v="SO0248"/>
    <x v="188"/>
    <s v="C0153"/>
    <s v="Customer 002"/>
    <s v="Kolkata"/>
    <x v="0"/>
    <x v="3"/>
    <s v="Jeans"/>
    <n v="3"/>
    <n v="1400"/>
    <n v="0"/>
    <n v="450"/>
    <s v="Corporate"/>
    <n v="4200"/>
    <n v="2850"/>
    <n v="4870637.5"/>
    <n v="3719417.5"/>
  </r>
  <r>
    <s v="SO0249"/>
    <x v="189"/>
    <s v="C0020"/>
    <s v="Customer 088"/>
    <s v="Kolkata"/>
    <x v="3"/>
    <x v="2"/>
    <s v="Laptop"/>
    <n v="2"/>
    <n v="52000"/>
    <n v="0.1"/>
    <n v="9000"/>
    <s v="Home Office"/>
    <n v="93600"/>
    <n v="75600"/>
    <n v="4866437.5"/>
    <n v="3716567.5"/>
  </r>
  <r>
    <s v="SO0250"/>
    <x v="82"/>
    <s v="C0110"/>
    <s v="Customer 131"/>
    <s v="Jaipur"/>
    <x v="3"/>
    <x v="0"/>
    <s v="Bedsheet"/>
    <n v="3"/>
    <n v="1200"/>
    <n v="0.15"/>
    <n v="350"/>
    <s v="Home Office"/>
    <n v="3060"/>
    <n v="2010"/>
    <n v="4772837.5"/>
    <n v="3640967.5"/>
  </r>
  <r>
    <s v="SO0251"/>
    <x v="22"/>
    <s v="C0027"/>
    <s v="Customer 032"/>
    <s v="Mumbai"/>
    <x v="2"/>
    <x v="3"/>
    <s v="Jeans"/>
    <n v="4"/>
    <n v="1400"/>
    <n v="0.05"/>
    <n v="450"/>
    <s v="Consumer"/>
    <n v="5320"/>
    <n v="3520"/>
    <n v="4769777.5"/>
    <n v="3638957.5"/>
  </r>
  <r>
    <s v="SO0252"/>
    <x v="57"/>
    <s v="C0029"/>
    <s v="Customer 076"/>
    <s v="Chennai"/>
    <x v="0"/>
    <x v="0"/>
    <s v="Cookware Set"/>
    <n v="1"/>
    <n v="2400"/>
    <n v="0.1"/>
    <n v="650"/>
    <s v="Home Office"/>
    <n v="2160"/>
    <n v="1510"/>
    <n v="4764457.5"/>
    <n v="3635437.5"/>
  </r>
  <r>
    <s v="SO0253"/>
    <x v="190"/>
    <s v="C0103"/>
    <s v="Customer 174"/>
    <s v="Hyderabad"/>
    <x v="3"/>
    <x v="1"/>
    <s v="Sofa"/>
    <n v="1"/>
    <n v="22000"/>
    <n v="0"/>
    <n v="5000"/>
    <s v="Corporate"/>
    <n v="22000"/>
    <n v="17000"/>
    <n v="4762297.5"/>
    <n v="3633927.5"/>
  </r>
  <r>
    <s v="SO0254"/>
    <x v="191"/>
    <s v="C0165"/>
    <s v="Customer 044"/>
    <s v="Hyderabad"/>
    <x v="2"/>
    <x v="2"/>
    <s v="Wireless Mouse"/>
    <n v="1"/>
    <n v="650"/>
    <n v="0.15"/>
    <n v="200"/>
    <s v="Home Office"/>
    <n v="552.5"/>
    <n v="352.5"/>
    <n v="4740297.5"/>
    <n v="3616927.5"/>
  </r>
  <r>
    <s v="SO0255"/>
    <x v="181"/>
    <s v="C0156"/>
    <s v="Customer 176"/>
    <s v="Mumbai"/>
    <x v="1"/>
    <x v="3"/>
    <s v="T-Shirt"/>
    <n v="1"/>
    <n v="550"/>
    <n v="0.05"/>
    <n v="180"/>
    <s v="Corporate"/>
    <n v="522.5"/>
    <n v="342.5"/>
    <n v="4739745"/>
    <n v="3616575"/>
  </r>
  <r>
    <s v="SO0256"/>
    <x v="192"/>
    <s v="C0049"/>
    <s v="Customer 171"/>
    <s v="Mumbai"/>
    <x v="1"/>
    <x v="1"/>
    <s v="Bookshelf"/>
    <n v="3"/>
    <n v="4200"/>
    <n v="0"/>
    <n v="1000"/>
    <s v="Home Office"/>
    <n v="12600"/>
    <n v="9600"/>
    <n v="4739222.5"/>
    <n v="3616232.5"/>
  </r>
  <r>
    <s v="SO0257"/>
    <x v="127"/>
    <s v="C0166"/>
    <s v="Customer 073"/>
    <s v="Kolkata"/>
    <x v="3"/>
    <x v="3"/>
    <s v="Jeans"/>
    <n v="5"/>
    <n v="1400"/>
    <n v="0"/>
    <n v="450"/>
    <s v="Consumer"/>
    <n v="7000"/>
    <n v="4750"/>
    <n v="4726622.5"/>
    <n v="3606632.5"/>
  </r>
  <r>
    <s v="SO0258"/>
    <x v="193"/>
    <s v="C0083"/>
    <s v="Customer 007"/>
    <s v="Jaipur"/>
    <x v="2"/>
    <x v="0"/>
    <s v="Mixer Grinder"/>
    <n v="2"/>
    <n v="2800"/>
    <n v="0.15"/>
    <n v="750"/>
    <s v="Consumer"/>
    <n v="4760"/>
    <n v="3260"/>
    <n v="4719622.5"/>
    <n v="3601882.5"/>
  </r>
  <r>
    <s v="SO0259"/>
    <x v="194"/>
    <s v="C0087"/>
    <s v="Customer 172"/>
    <s v="Hyderabad"/>
    <x v="0"/>
    <x v="2"/>
    <s v="Wireless Mouse"/>
    <n v="2"/>
    <n v="650"/>
    <n v="0.15"/>
    <n v="200"/>
    <s v="Home Office"/>
    <n v="1105"/>
    <n v="705"/>
    <n v="4714862.5"/>
    <n v="3598622.5"/>
  </r>
  <r>
    <s v="SO0260"/>
    <x v="191"/>
    <s v="C0102"/>
    <s v="Customer 060"/>
    <s v="Kolkata"/>
    <x v="3"/>
    <x v="3"/>
    <s v="Jeans"/>
    <n v="3"/>
    <n v="1400"/>
    <n v="0"/>
    <n v="450"/>
    <s v="Home Office"/>
    <n v="4200"/>
    <n v="2850"/>
    <n v="4713757.5"/>
    <n v="3597917.5"/>
  </r>
  <r>
    <s v="SO0261"/>
    <x v="195"/>
    <s v="C0118"/>
    <s v="Customer 177"/>
    <s v="Delhi"/>
    <x v="2"/>
    <x v="3"/>
    <s v="Sneakers"/>
    <n v="3"/>
    <n v="2600"/>
    <n v="0.15"/>
    <n v="800"/>
    <s v="Home Office"/>
    <n v="6630"/>
    <n v="4230"/>
    <n v="4709557.5"/>
    <n v="3595067.5"/>
  </r>
  <r>
    <s v="SO0262"/>
    <x v="196"/>
    <s v="C0152"/>
    <s v="Customer 111"/>
    <s v="Hyderabad"/>
    <x v="1"/>
    <x v="1"/>
    <s v="Dining Table"/>
    <n v="5"/>
    <n v="15000"/>
    <n v="0"/>
    <n v="3500"/>
    <s v="Home Office"/>
    <n v="75000"/>
    <n v="57500"/>
    <n v="4702927.5"/>
    <n v="3590837.5"/>
  </r>
  <r>
    <s v="SO0263"/>
    <x v="197"/>
    <s v="C0148"/>
    <s v="Customer 176"/>
    <s v="Chennai"/>
    <x v="1"/>
    <x v="1"/>
    <s v="Sofa"/>
    <n v="3"/>
    <n v="22000"/>
    <n v="0"/>
    <n v="5000"/>
    <s v="Corporate"/>
    <n v="66000"/>
    <n v="51000"/>
    <n v="4627927.5"/>
    <n v="3533337.5"/>
  </r>
  <r>
    <s v="SO0264"/>
    <x v="80"/>
    <s v="C0048"/>
    <s v="Customer 084"/>
    <s v="Delhi"/>
    <x v="2"/>
    <x v="3"/>
    <s v="Sneakers"/>
    <n v="2"/>
    <n v="2600"/>
    <n v="0"/>
    <n v="800"/>
    <s v="Corporate"/>
    <n v="5200"/>
    <n v="3600"/>
    <n v="4561927.5"/>
    <n v="3482337.5"/>
  </r>
  <r>
    <s v="SO0265"/>
    <x v="177"/>
    <s v="C0087"/>
    <s v="Customer 093"/>
    <s v="Jaipur"/>
    <x v="0"/>
    <x v="0"/>
    <s v="Water Bottle"/>
    <n v="4"/>
    <n v="350"/>
    <n v="0"/>
    <n v="100"/>
    <s v="Consumer"/>
    <n v="1400"/>
    <n v="1000"/>
    <n v="4556727.5"/>
    <n v="3478737.5"/>
  </r>
  <r>
    <s v="SO0266"/>
    <x v="198"/>
    <s v="C0051"/>
    <s v="Customer 124"/>
    <s v="Bengaluru"/>
    <x v="2"/>
    <x v="3"/>
    <s v="Jacket"/>
    <n v="2"/>
    <n v="3200"/>
    <n v="0"/>
    <n v="950"/>
    <s v="Home Office"/>
    <n v="6400"/>
    <n v="4500"/>
    <n v="4555327.5"/>
    <n v="3477737.5"/>
  </r>
  <r>
    <s v="SO0267"/>
    <x v="199"/>
    <s v="C0001"/>
    <s v="Customer 133"/>
    <s v="Chennai"/>
    <x v="1"/>
    <x v="3"/>
    <s v="Handbag"/>
    <n v="4"/>
    <n v="1900"/>
    <n v="0.05"/>
    <n v="600"/>
    <s v="Home Office"/>
    <n v="7220"/>
    <n v="4820"/>
    <n v="4548927.5"/>
    <n v="3473237.5"/>
  </r>
  <r>
    <s v="SO0268"/>
    <x v="200"/>
    <s v="C0029"/>
    <s v="Customer 064"/>
    <s v="Kolkata"/>
    <x v="2"/>
    <x v="3"/>
    <s v="Jacket"/>
    <n v="4"/>
    <n v="3200"/>
    <n v="0.05"/>
    <n v="950"/>
    <s v="Home Office"/>
    <n v="12160"/>
    <n v="8360"/>
    <n v="4541707.5"/>
    <n v="3468417.5"/>
  </r>
  <r>
    <s v="SO0269"/>
    <x v="192"/>
    <s v="C0057"/>
    <s v="Customer 049"/>
    <s v="Kolkata"/>
    <x v="0"/>
    <x v="3"/>
    <s v="Handbag"/>
    <n v="2"/>
    <n v="1900"/>
    <n v="0.15"/>
    <n v="600"/>
    <s v="Consumer"/>
    <n v="3230"/>
    <n v="2030"/>
    <n v="4529547.5"/>
    <n v="3460057.5"/>
  </r>
  <r>
    <s v="SO0270"/>
    <x v="12"/>
    <s v="C0077"/>
    <s v="Customer 108"/>
    <s v="Pune"/>
    <x v="2"/>
    <x v="3"/>
    <s v="T-Shirt"/>
    <n v="1"/>
    <n v="550"/>
    <n v="0.15"/>
    <n v="180"/>
    <s v="Home Office"/>
    <n v="467.5"/>
    <n v="287.5"/>
    <n v="4526317.5"/>
    <n v="3458027.5"/>
  </r>
  <r>
    <s v="SO0271"/>
    <x v="113"/>
    <s v="C0053"/>
    <s v="Customer 097"/>
    <s v="Mumbai"/>
    <x v="3"/>
    <x v="1"/>
    <s v="Study Table"/>
    <n v="5"/>
    <n v="8500"/>
    <n v="0.15"/>
    <n v="2100"/>
    <s v="Home Office"/>
    <n v="36125"/>
    <n v="25625"/>
    <n v="4525850"/>
    <n v="3457740"/>
  </r>
  <r>
    <s v="SO0272"/>
    <x v="201"/>
    <s v="C0158"/>
    <s v="Customer 036"/>
    <s v="Mumbai"/>
    <x v="3"/>
    <x v="1"/>
    <s v="Study Table"/>
    <n v="1"/>
    <n v="8500"/>
    <n v="0"/>
    <n v="2100"/>
    <s v="Home Office"/>
    <n v="8500"/>
    <n v="6400"/>
    <n v="4489725"/>
    <n v="3432115"/>
  </r>
  <r>
    <s v="SO0273"/>
    <x v="202"/>
    <s v="C0144"/>
    <s v="Customer 077"/>
    <s v="Hyderabad"/>
    <x v="2"/>
    <x v="3"/>
    <s v="T-Shirt"/>
    <n v="2"/>
    <n v="550"/>
    <n v="0.1"/>
    <n v="180"/>
    <s v="Corporate"/>
    <n v="990"/>
    <n v="630"/>
    <n v="4481225"/>
    <n v="3425715"/>
  </r>
  <r>
    <s v="SO0274"/>
    <x v="93"/>
    <s v="C0128"/>
    <s v="Customer 137"/>
    <s v="Delhi"/>
    <x v="3"/>
    <x v="3"/>
    <s v="T-Shirt"/>
    <n v="4"/>
    <n v="550"/>
    <n v="0"/>
    <n v="180"/>
    <s v="Corporate"/>
    <n v="2200"/>
    <n v="1480"/>
    <n v="4480235"/>
    <n v="3425085"/>
  </r>
  <r>
    <s v="SO0275"/>
    <x v="203"/>
    <s v="C0105"/>
    <s v="Customer 018"/>
    <s v="Hyderabad"/>
    <x v="2"/>
    <x v="0"/>
    <s v="Water Bottle"/>
    <n v="3"/>
    <n v="350"/>
    <n v="0.1"/>
    <n v="100"/>
    <s v="Consumer"/>
    <n v="945"/>
    <n v="645"/>
    <n v="4478035"/>
    <n v="3423605"/>
  </r>
  <r>
    <s v="SO0276"/>
    <x v="204"/>
    <s v="C0064"/>
    <s v="Customer 179"/>
    <s v="Bengaluru"/>
    <x v="2"/>
    <x v="3"/>
    <s v="Jacket"/>
    <n v="2"/>
    <n v="3200"/>
    <n v="0"/>
    <n v="950"/>
    <s v="Home Office"/>
    <n v="6400"/>
    <n v="4500"/>
    <n v="4477090"/>
    <n v="3422960"/>
  </r>
  <r>
    <s v="SO0277"/>
    <x v="28"/>
    <s v="C0174"/>
    <s v="Customer 179"/>
    <s v="Bengaluru"/>
    <x v="1"/>
    <x v="2"/>
    <s v="Keyboard"/>
    <n v="4"/>
    <n v="950"/>
    <n v="0.15"/>
    <n v="300"/>
    <s v="Home Office"/>
    <n v="3230"/>
    <n v="2030"/>
    <n v="4470690"/>
    <n v="3418460"/>
  </r>
  <r>
    <s v="SO0278"/>
    <x v="203"/>
    <s v="C0064"/>
    <s v="Customer 008"/>
    <s v="Mumbai"/>
    <x v="3"/>
    <x v="1"/>
    <s v="Dining Table"/>
    <n v="4"/>
    <n v="15000"/>
    <n v="0.1"/>
    <n v="3500"/>
    <s v="Home Office"/>
    <n v="54000"/>
    <n v="40000"/>
    <n v="4467460"/>
    <n v="3416430"/>
  </r>
  <r>
    <s v="SO0279"/>
    <x v="155"/>
    <s v="C0001"/>
    <s v="Customer 102"/>
    <s v="Mumbai"/>
    <x v="1"/>
    <x v="2"/>
    <s v="Wireless Mouse"/>
    <n v="1"/>
    <n v="650"/>
    <n v="0.05"/>
    <n v="200"/>
    <s v="Corporate"/>
    <n v="617.5"/>
    <n v="417.5"/>
    <n v="4413460"/>
    <n v="3376430"/>
  </r>
  <r>
    <s v="SO0280"/>
    <x v="175"/>
    <s v="C0115"/>
    <s v="Customer 153"/>
    <s v="Delhi"/>
    <x v="2"/>
    <x v="3"/>
    <s v="Handbag"/>
    <n v="2"/>
    <n v="1900"/>
    <n v="0"/>
    <n v="600"/>
    <s v="Consumer"/>
    <n v="3800"/>
    <n v="2600"/>
    <n v="4412842.5"/>
    <n v="3376012.5"/>
  </r>
  <r>
    <s v="SO0281"/>
    <x v="205"/>
    <s v="C0115"/>
    <s v="Customer 130"/>
    <s v="Bengaluru"/>
    <x v="1"/>
    <x v="3"/>
    <s v="Handbag"/>
    <n v="2"/>
    <n v="1900"/>
    <n v="0.1"/>
    <n v="600"/>
    <s v="Corporate"/>
    <n v="3420"/>
    <n v="2220"/>
    <n v="4409042.5"/>
    <n v="3373412.5"/>
  </r>
  <r>
    <s v="SO0282"/>
    <x v="142"/>
    <s v="C0160"/>
    <s v="Customer 039"/>
    <s v="Bengaluru"/>
    <x v="3"/>
    <x v="1"/>
    <s v="Study Table"/>
    <n v="1"/>
    <n v="8500"/>
    <n v="0.15"/>
    <n v="2100"/>
    <s v="Consumer"/>
    <n v="7225"/>
    <n v="5125"/>
    <n v="4405622.5"/>
    <n v="3371192.5"/>
  </r>
  <r>
    <s v="SO0283"/>
    <x v="149"/>
    <s v="C0147"/>
    <s v="Customer 038"/>
    <s v="Jaipur"/>
    <x v="3"/>
    <x v="1"/>
    <s v="Dining Table"/>
    <n v="4"/>
    <n v="15000"/>
    <n v="0"/>
    <n v="3500"/>
    <s v="Corporate"/>
    <n v="60000"/>
    <n v="46000"/>
    <n v="4398397.5"/>
    <n v="3366067.5"/>
  </r>
  <r>
    <s v="SO0284"/>
    <x v="206"/>
    <s v="C0015"/>
    <s v="Customer 148"/>
    <s v="Delhi"/>
    <x v="0"/>
    <x v="1"/>
    <s v="Study Table"/>
    <n v="3"/>
    <n v="8500"/>
    <n v="0.1"/>
    <n v="2100"/>
    <s v="Consumer"/>
    <n v="22950"/>
    <n v="16650"/>
    <n v="4338397.5"/>
    <n v="3320067.5"/>
  </r>
  <r>
    <s v="SO0285"/>
    <x v="183"/>
    <s v="C0154"/>
    <s v="Customer 063"/>
    <s v="Hyderabad"/>
    <x v="2"/>
    <x v="2"/>
    <s v="Headphones"/>
    <n v="2"/>
    <n v="1800"/>
    <n v="0.1"/>
    <n v="650"/>
    <s v="Consumer"/>
    <n v="3240"/>
    <n v="1940"/>
    <n v="4315447.5"/>
    <n v="3303417.5"/>
  </r>
  <r>
    <s v="SO0286"/>
    <x v="21"/>
    <s v="C0017"/>
    <s v="Customer 119"/>
    <s v="Kolkata"/>
    <x v="0"/>
    <x v="3"/>
    <s v="Handbag"/>
    <n v="5"/>
    <n v="1900"/>
    <n v="0.05"/>
    <n v="600"/>
    <s v="Home Office"/>
    <n v="9025"/>
    <n v="6025"/>
    <n v="4312207.5"/>
    <n v="3301477.5"/>
  </r>
  <r>
    <s v="SO0287"/>
    <x v="207"/>
    <s v="C0074"/>
    <s v="Customer 141"/>
    <s v="Hyderabad"/>
    <x v="0"/>
    <x v="3"/>
    <s v="Handbag"/>
    <n v="5"/>
    <n v="1900"/>
    <n v="0"/>
    <n v="600"/>
    <s v="Consumer"/>
    <n v="9500"/>
    <n v="6500"/>
    <n v="4303182.5"/>
    <n v="3295452.5"/>
  </r>
  <r>
    <s v="SO0288"/>
    <x v="208"/>
    <s v="C0147"/>
    <s v="Customer 062"/>
    <s v="Delhi"/>
    <x v="2"/>
    <x v="2"/>
    <s v="Keyboard"/>
    <n v="5"/>
    <n v="950"/>
    <n v="0.15"/>
    <n v="300"/>
    <s v="Home Office"/>
    <n v="4037.5"/>
    <n v="2537.5"/>
    <n v="4293682.5"/>
    <n v="3288952.5"/>
  </r>
  <r>
    <s v="SO0289"/>
    <x v="209"/>
    <s v="C0153"/>
    <s v="Customer 041"/>
    <s v="Pune"/>
    <x v="2"/>
    <x v="3"/>
    <s v="Handbag"/>
    <n v="3"/>
    <n v="1900"/>
    <n v="0.15"/>
    <n v="600"/>
    <s v="Consumer"/>
    <n v="4845"/>
    <n v="3045"/>
    <n v="4289645"/>
    <n v="3286415"/>
  </r>
  <r>
    <s v="SO0290"/>
    <x v="210"/>
    <s v="C0159"/>
    <s v="Customer 049"/>
    <s v="Jaipur"/>
    <x v="1"/>
    <x v="2"/>
    <s v="Laptop"/>
    <n v="2"/>
    <n v="52000"/>
    <n v="0.1"/>
    <n v="9000"/>
    <s v="Home Office"/>
    <n v="93600"/>
    <n v="75600"/>
    <n v="4284800"/>
    <n v="3283370"/>
  </r>
  <r>
    <s v="SO0291"/>
    <x v="211"/>
    <s v="C0119"/>
    <s v="Customer 001"/>
    <s v="Mumbai"/>
    <x v="1"/>
    <x v="3"/>
    <s v="T-Shirt"/>
    <n v="1"/>
    <n v="550"/>
    <n v="0"/>
    <n v="180"/>
    <s v="Corporate"/>
    <n v="550"/>
    <n v="370"/>
    <n v="4191200"/>
    <n v="3207770"/>
  </r>
  <r>
    <s v="SO0292"/>
    <x v="83"/>
    <s v="C0121"/>
    <s v="Customer 142"/>
    <s v="Pune"/>
    <x v="1"/>
    <x v="2"/>
    <s v="Wireless Mouse"/>
    <n v="1"/>
    <n v="650"/>
    <n v="0.15"/>
    <n v="200"/>
    <s v="Home Office"/>
    <n v="552.5"/>
    <n v="352.5"/>
    <n v="4190650"/>
    <n v="3207400"/>
  </r>
  <r>
    <s v="SO0293"/>
    <x v="186"/>
    <s v="C0027"/>
    <s v="Customer 041"/>
    <s v="Delhi"/>
    <x v="3"/>
    <x v="1"/>
    <s v="Sofa"/>
    <n v="1"/>
    <n v="22000"/>
    <n v="0.1"/>
    <n v="5000"/>
    <s v="Home Office"/>
    <n v="19800"/>
    <n v="14800"/>
    <n v="4190097.5"/>
    <n v="3207047.5"/>
  </r>
  <r>
    <s v="SO0294"/>
    <x v="212"/>
    <s v="C0060"/>
    <s v="Customer 093"/>
    <s v="Chennai"/>
    <x v="2"/>
    <x v="2"/>
    <s v="Keyboard"/>
    <n v="1"/>
    <n v="950"/>
    <n v="0.1"/>
    <n v="300"/>
    <s v="Home Office"/>
    <n v="855"/>
    <n v="555"/>
    <n v="4170297.5"/>
    <n v="3192247.5"/>
  </r>
  <r>
    <s v="SO0295"/>
    <x v="185"/>
    <s v="C0122"/>
    <s v="Customer 059"/>
    <s v="Bengaluru"/>
    <x v="0"/>
    <x v="1"/>
    <s v="Sofa"/>
    <n v="4"/>
    <n v="22000"/>
    <n v="0.15"/>
    <n v="5000"/>
    <s v="Corporate"/>
    <n v="74800"/>
    <n v="54800"/>
    <n v="4169442.5"/>
    <n v="3191692.5"/>
  </r>
  <r>
    <s v="SO0296"/>
    <x v="32"/>
    <s v="C0089"/>
    <s v="Customer 014"/>
    <s v="Kolkata"/>
    <x v="3"/>
    <x v="2"/>
    <s v="Headphones"/>
    <n v="3"/>
    <n v="1800"/>
    <n v="0"/>
    <n v="650"/>
    <s v="Corporate"/>
    <n v="5400"/>
    <n v="3450"/>
    <n v="4094642.5"/>
    <n v="3136892.5"/>
  </r>
  <r>
    <s v="SO0297"/>
    <x v="53"/>
    <s v="C0075"/>
    <s v="Customer 042"/>
    <s v="Chennai"/>
    <x v="1"/>
    <x v="0"/>
    <s v="Bedsheet"/>
    <n v="5"/>
    <n v="1200"/>
    <n v="0.05"/>
    <n v="350"/>
    <s v="Home Office"/>
    <n v="5700"/>
    <n v="3950"/>
    <n v="4089242.5"/>
    <n v="3133442.5"/>
  </r>
  <r>
    <s v="SO0298"/>
    <x v="37"/>
    <s v="C0144"/>
    <s v="Customer 068"/>
    <s v="Jaipur"/>
    <x v="2"/>
    <x v="2"/>
    <s v="Laptop"/>
    <n v="1"/>
    <n v="52000"/>
    <n v="0"/>
    <n v="9000"/>
    <s v="Corporate"/>
    <n v="52000"/>
    <n v="43000"/>
    <n v="4083542.5"/>
    <n v="3129492.5"/>
  </r>
  <r>
    <s v="SO0299"/>
    <x v="44"/>
    <s v="C0048"/>
    <s v="Customer 140"/>
    <s v="Bengaluru"/>
    <x v="1"/>
    <x v="1"/>
    <s v="Dining Table"/>
    <n v="1"/>
    <n v="15000"/>
    <n v="0"/>
    <n v="3500"/>
    <s v="Consumer"/>
    <n v="15000"/>
    <n v="11500"/>
    <n v="4031542.5"/>
    <n v="3086492.5"/>
  </r>
  <r>
    <s v="SO0300"/>
    <x v="67"/>
    <s v="C0011"/>
    <s v="Customer 134"/>
    <s v="Delhi"/>
    <x v="2"/>
    <x v="2"/>
    <s v="Smartphone"/>
    <n v="5"/>
    <n v="18000"/>
    <n v="0.15"/>
    <n v="3000"/>
    <s v="Corporate"/>
    <n v="76500"/>
    <n v="61500"/>
    <n v="4016542.5"/>
    <n v="3074992.5"/>
  </r>
  <r>
    <s v="SO0301"/>
    <x v="37"/>
    <s v="C0030"/>
    <s v="Customer 094"/>
    <s v="Delhi"/>
    <x v="0"/>
    <x v="2"/>
    <s v="Wireless Mouse"/>
    <n v="5"/>
    <n v="650"/>
    <n v="0"/>
    <n v="200"/>
    <s v="Corporate"/>
    <n v="3250"/>
    <n v="2250"/>
    <n v="3940042.5"/>
    <n v="3013492.5"/>
  </r>
  <r>
    <s v="SO0302"/>
    <x v="213"/>
    <s v="C0028"/>
    <s v="Customer 071"/>
    <s v="Mumbai"/>
    <x v="0"/>
    <x v="1"/>
    <s v="Office Chair"/>
    <n v="4"/>
    <n v="6500"/>
    <n v="0"/>
    <n v="1600"/>
    <s v="Consumer"/>
    <n v="26000"/>
    <n v="19600"/>
    <n v="3936792.5"/>
    <n v="3011242.5"/>
  </r>
  <r>
    <s v="SO0303"/>
    <x v="117"/>
    <s v="C0001"/>
    <s v="Customer 094"/>
    <s v="Jaipur"/>
    <x v="3"/>
    <x v="3"/>
    <s v="Jacket"/>
    <n v="1"/>
    <n v="3200"/>
    <n v="0"/>
    <n v="950"/>
    <s v="Home Office"/>
    <n v="3200"/>
    <n v="2250"/>
    <n v="3910792.5"/>
    <n v="2991642.5"/>
  </r>
  <r>
    <s v="SO0304"/>
    <x v="2"/>
    <s v="C0023"/>
    <s v="Customer 004"/>
    <s v="Delhi"/>
    <x v="3"/>
    <x v="2"/>
    <s v="Laptop"/>
    <n v="3"/>
    <n v="52000"/>
    <n v="0.15"/>
    <n v="9000"/>
    <s v="Home Office"/>
    <n v="132600"/>
    <n v="105600"/>
    <n v="3907592.5"/>
    <n v="2989392.5"/>
  </r>
  <r>
    <s v="SO0305"/>
    <x v="43"/>
    <s v="C0040"/>
    <s v="Customer 151"/>
    <s v="Mumbai"/>
    <x v="1"/>
    <x v="1"/>
    <s v="Study Table"/>
    <n v="1"/>
    <n v="8500"/>
    <n v="0"/>
    <n v="2100"/>
    <s v="Consumer"/>
    <n v="8500"/>
    <n v="6400"/>
    <n v="3774992.5"/>
    <n v="2883792.5"/>
  </r>
  <r>
    <s v="SO0306"/>
    <x v="105"/>
    <s v="C0085"/>
    <s v="Customer 150"/>
    <s v="Bengaluru"/>
    <x v="3"/>
    <x v="3"/>
    <s v="Handbag"/>
    <n v="5"/>
    <n v="1900"/>
    <n v="0"/>
    <n v="600"/>
    <s v="Home Office"/>
    <n v="9500"/>
    <n v="6500"/>
    <n v="3766492.5"/>
    <n v="2877392.5"/>
  </r>
  <r>
    <s v="SO0307"/>
    <x v="68"/>
    <s v="C0178"/>
    <s v="Customer 092"/>
    <s v="Jaipur"/>
    <x v="2"/>
    <x v="2"/>
    <s v="Headphones"/>
    <n v="4"/>
    <n v="1800"/>
    <n v="0"/>
    <n v="650"/>
    <s v="Home Office"/>
    <n v="7200"/>
    <n v="4600"/>
    <n v="3756992.5"/>
    <n v="2870892.5"/>
  </r>
  <r>
    <s v="SO0308"/>
    <x v="36"/>
    <s v="C0029"/>
    <s v="Customer 094"/>
    <s v="Jaipur"/>
    <x v="1"/>
    <x v="1"/>
    <s v="Dining Table"/>
    <n v="2"/>
    <n v="15000"/>
    <n v="0.05"/>
    <n v="3500"/>
    <s v="Home Office"/>
    <n v="28500"/>
    <n v="21500"/>
    <n v="3749792.5"/>
    <n v="2866292.5"/>
  </r>
  <r>
    <s v="SO0309"/>
    <x v="28"/>
    <s v="C0017"/>
    <s v="Customer 010"/>
    <s v="Bengaluru"/>
    <x v="3"/>
    <x v="2"/>
    <s v="Keyboard"/>
    <n v="4"/>
    <n v="950"/>
    <n v="0.05"/>
    <n v="300"/>
    <s v="Home Office"/>
    <n v="3610"/>
    <n v="2410"/>
    <n v="3721292.5"/>
    <n v="2844792.5"/>
  </r>
  <r>
    <s v="SO0310"/>
    <x v="88"/>
    <s v="C0085"/>
    <s v="Customer 047"/>
    <s v="Pune"/>
    <x v="0"/>
    <x v="0"/>
    <s v="Mixer Grinder"/>
    <n v="1"/>
    <n v="2800"/>
    <n v="0.05"/>
    <n v="750"/>
    <s v="Home Office"/>
    <n v="2660"/>
    <n v="1910"/>
    <n v="3717682.5"/>
    <n v="2842382.5"/>
  </r>
  <r>
    <s v="SO0311"/>
    <x v="10"/>
    <s v="C0072"/>
    <s v="Customer 030"/>
    <s v="Delhi"/>
    <x v="3"/>
    <x v="2"/>
    <s v="Keyboard"/>
    <n v="5"/>
    <n v="950"/>
    <n v="0"/>
    <n v="300"/>
    <s v="Home Office"/>
    <n v="4750"/>
    <n v="3250"/>
    <n v="3715022.5"/>
    <n v="2840472.5"/>
  </r>
  <r>
    <s v="SO0312"/>
    <x v="160"/>
    <s v="C0161"/>
    <s v="Customer 179"/>
    <s v="Mumbai"/>
    <x v="3"/>
    <x v="1"/>
    <s v="Study Table"/>
    <n v="2"/>
    <n v="8500"/>
    <n v="0"/>
    <n v="2100"/>
    <s v="Consumer"/>
    <n v="17000"/>
    <n v="12800"/>
    <n v="3710272.5"/>
    <n v="2837222.5"/>
  </r>
  <r>
    <s v="SO0313"/>
    <x v="214"/>
    <s v="C0070"/>
    <s v="Customer 076"/>
    <s v="Hyderabad"/>
    <x v="3"/>
    <x v="1"/>
    <s v="Sofa"/>
    <n v="2"/>
    <n v="22000"/>
    <n v="0.15"/>
    <n v="5000"/>
    <s v="Home Office"/>
    <n v="37400"/>
    <n v="27400"/>
    <n v="3693272.5"/>
    <n v="2824422.5"/>
  </r>
  <r>
    <s v="SO0314"/>
    <x v="215"/>
    <s v="C0096"/>
    <s v="Customer 090"/>
    <s v="Pune"/>
    <x v="1"/>
    <x v="3"/>
    <s v="Handbag"/>
    <n v="4"/>
    <n v="1900"/>
    <n v="0"/>
    <n v="600"/>
    <s v="Corporate"/>
    <n v="7600"/>
    <n v="5200"/>
    <n v="3655872.5"/>
    <n v="2797022.5"/>
  </r>
  <r>
    <s v="SO0315"/>
    <x v="216"/>
    <s v="C0178"/>
    <s v="Customer 086"/>
    <s v="Bengaluru"/>
    <x v="3"/>
    <x v="2"/>
    <s v="Smartphone"/>
    <n v="2"/>
    <n v="18000"/>
    <n v="0.1"/>
    <n v="3000"/>
    <s v="Consumer"/>
    <n v="32400"/>
    <n v="26400"/>
    <n v="3648272.5"/>
    <n v="2791822.5"/>
  </r>
  <r>
    <s v="SO0316"/>
    <x v="92"/>
    <s v="C0055"/>
    <s v="Customer 177"/>
    <s v="Kolkata"/>
    <x v="3"/>
    <x v="2"/>
    <s v="Smartphone"/>
    <n v="4"/>
    <n v="18000"/>
    <n v="0"/>
    <n v="3000"/>
    <s v="Corporate"/>
    <n v="72000"/>
    <n v="60000"/>
    <n v="3615872.5"/>
    <n v="2765422.5"/>
  </r>
  <r>
    <s v="SO0317"/>
    <x v="189"/>
    <s v="C0063"/>
    <s v="Customer 148"/>
    <s v="Pune"/>
    <x v="1"/>
    <x v="3"/>
    <s v="Jacket"/>
    <n v="4"/>
    <n v="3200"/>
    <n v="0"/>
    <n v="950"/>
    <s v="Consumer"/>
    <n v="12800"/>
    <n v="9000"/>
    <n v="3543872.5"/>
    <n v="2705422.5"/>
  </r>
  <r>
    <s v="SO0318"/>
    <x v="164"/>
    <s v="C0179"/>
    <s v="Customer 033"/>
    <s v="Pune"/>
    <x v="3"/>
    <x v="0"/>
    <s v="Cookware Set"/>
    <n v="2"/>
    <n v="2400"/>
    <n v="0.1"/>
    <n v="650"/>
    <s v="Corporate"/>
    <n v="4320"/>
    <n v="3020"/>
    <n v="3531072.5"/>
    <n v="2696422.5"/>
  </r>
  <r>
    <s v="SO0319"/>
    <x v="217"/>
    <s v="C0158"/>
    <s v="Customer 133"/>
    <s v="Delhi"/>
    <x v="3"/>
    <x v="1"/>
    <s v="Sofa"/>
    <n v="2"/>
    <n v="22000"/>
    <n v="0"/>
    <n v="5000"/>
    <s v="Corporate"/>
    <n v="44000"/>
    <n v="34000"/>
    <n v="3526752.5"/>
    <n v="2693402.5"/>
  </r>
  <r>
    <s v="SO0320"/>
    <x v="218"/>
    <s v="C0010"/>
    <s v="Customer 128"/>
    <s v="Bengaluru"/>
    <x v="2"/>
    <x v="0"/>
    <s v="Bedsheet"/>
    <n v="2"/>
    <n v="1200"/>
    <n v="0.15"/>
    <n v="350"/>
    <s v="Consumer"/>
    <n v="2040"/>
    <n v="1340"/>
    <n v="3482752.5"/>
    <n v="2659402.5"/>
  </r>
  <r>
    <s v="SO0321"/>
    <x v="18"/>
    <s v="C0118"/>
    <s v="Customer 023"/>
    <s v="Hyderabad"/>
    <x v="2"/>
    <x v="1"/>
    <s v="Bookshelf"/>
    <n v="4"/>
    <n v="4200"/>
    <n v="0"/>
    <n v="1000"/>
    <s v="Consumer"/>
    <n v="16800"/>
    <n v="12800"/>
    <n v="3480712.5"/>
    <n v="2658062.5"/>
  </r>
  <r>
    <s v="SO0322"/>
    <x v="219"/>
    <s v="C0017"/>
    <s v="Customer 079"/>
    <s v="Hyderabad"/>
    <x v="0"/>
    <x v="3"/>
    <s v="Handbag"/>
    <n v="4"/>
    <n v="1900"/>
    <n v="0"/>
    <n v="600"/>
    <s v="Corporate"/>
    <n v="7600"/>
    <n v="5200"/>
    <n v="3463912.5"/>
    <n v="2645262.5"/>
  </r>
  <r>
    <s v="SO0323"/>
    <x v="15"/>
    <s v="C0042"/>
    <s v="Customer 039"/>
    <s v="Kolkata"/>
    <x v="2"/>
    <x v="0"/>
    <s v="Water Bottle"/>
    <n v="5"/>
    <n v="350"/>
    <n v="0.1"/>
    <n v="100"/>
    <s v="Consumer"/>
    <n v="1575"/>
    <n v="1075"/>
    <n v="3456312.5"/>
    <n v="2640062.5"/>
  </r>
  <r>
    <s v="SO0324"/>
    <x v="31"/>
    <s v="C0149"/>
    <s v="Customer 123"/>
    <s v="Pune"/>
    <x v="0"/>
    <x v="2"/>
    <s v="Smartphone"/>
    <n v="1"/>
    <n v="18000"/>
    <n v="0.15"/>
    <n v="3000"/>
    <s v="Corporate"/>
    <n v="15300"/>
    <n v="12300"/>
    <n v="3454737.5"/>
    <n v="2638987.5"/>
  </r>
  <r>
    <s v="SO0325"/>
    <x v="17"/>
    <s v="C0114"/>
    <s v="Customer 135"/>
    <s v="Kolkata"/>
    <x v="0"/>
    <x v="1"/>
    <s v="Study Table"/>
    <n v="2"/>
    <n v="8500"/>
    <n v="0"/>
    <n v="2100"/>
    <s v="Consumer"/>
    <n v="17000"/>
    <n v="12800"/>
    <n v="3439437.5"/>
    <n v="2626687.5"/>
  </r>
  <r>
    <s v="SO0326"/>
    <x v="74"/>
    <s v="C0049"/>
    <s v="Customer 166"/>
    <s v="Jaipur"/>
    <x v="3"/>
    <x v="0"/>
    <s v="Cookware Set"/>
    <n v="1"/>
    <n v="2400"/>
    <n v="0"/>
    <n v="650"/>
    <s v="Consumer"/>
    <n v="2400"/>
    <n v="1750"/>
    <n v="3422437.5"/>
    <n v="2613887.5"/>
  </r>
  <r>
    <s v="SO0327"/>
    <x v="42"/>
    <s v="C0085"/>
    <s v="Customer 152"/>
    <s v="Hyderabad"/>
    <x v="3"/>
    <x v="1"/>
    <s v="Office Chair"/>
    <n v="2"/>
    <n v="6500"/>
    <n v="0"/>
    <n v="1600"/>
    <s v="Corporate"/>
    <n v="13000"/>
    <n v="9800"/>
    <n v="3420037.5"/>
    <n v="2612137.5"/>
  </r>
  <r>
    <s v="SO0328"/>
    <x v="220"/>
    <s v="C0102"/>
    <s v="Customer 089"/>
    <s v="Kolkata"/>
    <x v="3"/>
    <x v="1"/>
    <s v="Sofa"/>
    <n v="4"/>
    <n v="22000"/>
    <n v="0.1"/>
    <n v="5000"/>
    <s v="Consumer"/>
    <n v="79200"/>
    <n v="59200"/>
    <n v="3407037.5"/>
    <n v="2602337.5"/>
  </r>
  <r>
    <s v="SO0329"/>
    <x v="136"/>
    <s v="C0009"/>
    <s v="Customer 117"/>
    <s v="Kolkata"/>
    <x v="1"/>
    <x v="0"/>
    <s v="Mixer Grinder"/>
    <n v="1"/>
    <n v="2800"/>
    <n v="0.1"/>
    <n v="750"/>
    <s v="Corporate"/>
    <n v="2520"/>
    <n v="1770"/>
    <n v="3327837.5"/>
    <n v="2543137.5"/>
  </r>
  <r>
    <s v="SO0330"/>
    <x v="42"/>
    <s v="C0026"/>
    <s v="Customer 056"/>
    <s v="Bengaluru"/>
    <x v="3"/>
    <x v="2"/>
    <s v="Keyboard"/>
    <n v="2"/>
    <n v="950"/>
    <n v="0"/>
    <n v="300"/>
    <s v="Consumer"/>
    <n v="1900"/>
    <n v="1300"/>
    <n v="3325317.5"/>
    <n v="2541367.5"/>
  </r>
  <r>
    <s v="SO0331"/>
    <x v="91"/>
    <s v="C0165"/>
    <s v="Customer 083"/>
    <s v="Delhi"/>
    <x v="3"/>
    <x v="3"/>
    <s v="Jeans"/>
    <n v="3"/>
    <n v="1400"/>
    <n v="0"/>
    <n v="450"/>
    <s v="Consumer"/>
    <n v="4200"/>
    <n v="2850"/>
    <n v="3323417.5"/>
    <n v="2540067.5"/>
  </r>
  <r>
    <s v="SO0332"/>
    <x v="31"/>
    <s v="C0097"/>
    <s v="Customer 151"/>
    <s v="Hyderabad"/>
    <x v="2"/>
    <x v="3"/>
    <s v="Jacket"/>
    <n v="5"/>
    <n v="3200"/>
    <n v="0.1"/>
    <n v="950"/>
    <s v="Home Office"/>
    <n v="14400"/>
    <n v="9650"/>
    <n v="3319217.5"/>
    <n v="2537217.5"/>
  </r>
  <r>
    <s v="SO0333"/>
    <x v="221"/>
    <s v="C0092"/>
    <s v="Customer 138"/>
    <s v="Jaipur"/>
    <x v="0"/>
    <x v="1"/>
    <s v="Study Table"/>
    <n v="5"/>
    <n v="8500"/>
    <n v="0.1"/>
    <n v="2100"/>
    <s v="Corporate"/>
    <n v="38250"/>
    <n v="27750"/>
    <n v="3304817.5"/>
    <n v="2527567.5"/>
  </r>
  <r>
    <s v="SO0334"/>
    <x v="172"/>
    <s v="C0120"/>
    <s v="Customer 031"/>
    <s v="Delhi"/>
    <x v="3"/>
    <x v="1"/>
    <s v="Bookshelf"/>
    <n v="5"/>
    <n v="4200"/>
    <n v="0.1"/>
    <n v="1000"/>
    <s v="Consumer"/>
    <n v="18900"/>
    <n v="13900"/>
    <n v="3266567.5"/>
    <n v="2499817.5"/>
  </r>
  <r>
    <s v="SO0335"/>
    <x v="222"/>
    <s v="C0126"/>
    <s v="Customer 009"/>
    <s v="Mumbai"/>
    <x v="1"/>
    <x v="0"/>
    <s v="Table Lamp"/>
    <n v="4"/>
    <n v="850"/>
    <n v="0"/>
    <n v="250"/>
    <s v="Consumer"/>
    <n v="3400"/>
    <n v="2400"/>
    <n v="3247667.5"/>
    <n v="2485917.5"/>
  </r>
  <r>
    <s v="SO0336"/>
    <x v="223"/>
    <s v="C0022"/>
    <s v="Customer 083"/>
    <s v="Bengaluru"/>
    <x v="3"/>
    <x v="0"/>
    <s v="Water Bottle"/>
    <n v="2"/>
    <n v="350"/>
    <n v="0.15"/>
    <n v="100"/>
    <s v="Consumer"/>
    <n v="595"/>
    <n v="395"/>
    <n v="3244267.5"/>
    <n v="2483517.5"/>
  </r>
  <r>
    <s v="SO0337"/>
    <x v="224"/>
    <s v="C0096"/>
    <s v="Customer 012"/>
    <s v="Pune"/>
    <x v="2"/>
    <x v="3"/>
    <s v="Sneakers"/>
    <n v="1"/>
    <n v="2600"/>
    <n v="0"/>
    <n v="800"/>
    <s v="Consumer"/>
    <n v="2600"/>
    <n v="1800"/>
    <n v="3243672.5"/>
    <n v="2483122.5"/>
  </r>
  <r>
    <s v="SO0338"/>
    <x v="225"/>
    <s v="C0158"/>
    <s v="Customer 091"/>
    <s v="Pune"/>
    <x v="1"/>
    <x v="3"/>
    <s v="Sneakers"/>
    <n v="2"/>
    <n v="2600"/>
    <n v="0.1"/>
    <n v="800"/>
    <s v="Corporate"/>
    <n v="4680"/>
    <n v="3080"/>
    <n v="3241072.5"/>
    <n v="2481322.5"/>
  </r>
  <r>
    <s v="SO0339"/>
    <x v="195"/>
    <s v="C0070"/>
    <s v="Customer 101"/>
    <s v="Pune"/>
    <x v="3"/>
    <x v="1"/>
    <s v="Study Table"/>
    <n v="4"/>
    <n v="8500"/>
    <n v="0"/>
    <n v="2100"/>
    <s v="Home Office"/>
    <n v="34000"/>
    <n v="25600"/>
    <n v="3236392.5"/>
    <n v="2478242.5"/>
  </r>
  <r>
    <s v="SO0340"/>
    <x v="106"/>
    <s v="C0145"/>
    <s v="Customer 136"/>
    <s v="Jaipur"/>
    <x v="2"/>
    <x v="0"/>
    <s v="Cookware Set"/>
    <n v="3"/>
    <n v="2400"/>
    <n v="0.1"/>
    <n v="650"/>
    <s v="Corporate"/>
    <n v="6480"/>
    <n v="4530"/>
    <n v="3202392.5"/>
    <n v="2452642.5"/>
  </r>
  <r>
    <s v="SO0341"/>
    <x v="226"/>
    <s v="C0132"/>
    <s v="Customer 126"/>
    <s v="Mumbai"/>
    <x v="3"/>
    <x v="2"/>
    <s v="Smartphone"/>
    <n v="4"/>
    <n v="18000"/>
    <n v="0.1"/>
    <n v="3000"/>
    <s v="Corporate"/>
    <n v="64800"/>
    <n v="52800"/>
    <n v="3195912.5"/>
    <n v="2448112.5"/>
  </r>
  <r>
    <s v="SO0342"/>
    <x v="227"/>
    <s v="C0093"/>
    <s v="Customer 135"/>
    <s v="Chennai"/>
    <x v="1"/>
    <x v="2"/>
    <s v="Smartphone"/>
    <n v="3"/>
    <n v="18000"/>
    <n v="0.1"/>
    <n v="3000"/>
    <s v="Corporate"/>
    <n v="48600"/>
    <n v="39600"/>
    <n v="3131112.5"/>
    <n v="2395312.5"/>
  </r>
  <r>
    <s v="SO0343"/>
    <x v="64"/>
    <s v="C0062"/>
    <s v="Customer 164"/>
    <s v="Bengaluru"/>
    <x v="2"/>
    <x v="2"/>
    <s v="Smartphone"/>
    <n v="1"/>
    <n v="18000"/>
    <n v="0.05"/>
    <n v="3000"/>
    <s v="Consumer"/>
    <n v="17100"/>
    <n v="14100"/>
    <n v="3082512.5"/>
    <n v="2355712.5"/>
  </r>
  <r>
    <s v="SO0344"/>
    <x v="149"/>
    <s v="C0036"/>
    <s v="Customer 159"/>
    <s v="Kolkata"/>
    <x v="3"/>
    <x v="2"/>
    <s v="Smartphone"/>
    <n v="2"/>
    <n v="18000"/>
    <n v="0"/>
    <n v="3000"/>
    <s v="Home Office"/>
    <n v="36000"/>
    <n v="30000"/>
    <n v="3065412.5"/>
    <n v="2341612.5"/>
  </r>
  <r>
    <s v="SO0345"/>
    <x v="228"/>
    <s v="C0002"/>
    <s v="Customer 112"/>
    <s v="Kolkata"/>
    <x v="3"/>
    <x v="2"/>
    <s v="Keyboard"/>
    <n v="2"/>
    <n v="950"/>
    <n v="0.15"/>
    <n v="300"/>
    <s v="Corporate"/>
    <n v="1615"/>
    <n v="1015"/>
    <n v="3029412.5"/>
    <n v="2311612.5"/>
  </r>
  <r>
    <s v="SO0346"/>
    <x v="20"/>
    <s v="C0104"/>
    <s v="Customer 149"/>
    <s v="Pune"/>
    <x v="0"/>
    <x v="1"/>
    <s v="Sofa"/>
    <n v="2"/>
    <n v="22000"/>
    <n v="0"/>
    <n v="5000"/>
    <s v="Corporate"/>
    <n v="44000"/>
    <n v="34000"/>
    <n v="3027797.5"/>
    <n v="2310597.5"/>
  </r>
  <r>
    <s v="SO0347"/>
    <x v="18"/>
    <s v="C0095"/>
    <s v="Customer 013"/>
    <s v="Kolkata"/>
    <x v="1"/>
    <x v="1"/>
    <s v="Office Chair"/>
    <n v="3"/>
    <n v="6500"/>
    <n v="0.05"/>
    <n v="1600"/>
    <s v="Consumer"/>
    <n v="18525"/>
    <n v="13725"/>
    <n v="2983797.5"/>
    <n v="2276597.5"/>
  </r>
  <r>
    <s v="SO0348"/>
    <x v="229"/>
    <s v="C0024"/>
    <s v="Customer 038"/>
    <s v="Jaipur"/>
    <x v="2"/>
    <x v="1"/>
    <s v="Study Table"/>
    <n v="2"/>
    <n v="8500"/>
    <n v="0"/>
    <n v="2100"/>
    <s v="Corporate"/>
    <n v="17000"/>
    <n v="12800"/>
    <n v="2965272.5"/>
    <n v="2262872.5"/>
  </r>
  <r>
    <s v="SO0349"/>
    <x v="143"/>
    <s v="C0013"/>
    <s v="Customer 080"/>
    <s v="Kolkata"/>
    <x v="3"/>
    <x v="2"/>
    <s v="Smartphone"/>
    <n v="3"/>
    <n v="18000"/>
    <n v="0.1"/>
    <n v="3000"/>
    <s v="Home Office"/>
    <n v="48600"/>
    <n v="39600"/>
    <n v="2948272.5"/>
    <n v="2250072.5"/>
  </r>
  <r>
    <s v="SO0350"/>
    <x v="230"/>
    <s v="C0130"/>
    <s v="Customer 125"/>
    <s v="Mumbai"/>
    <x v="2"/>
    <x v="3"/>
    <s v="Handbag"/>
    <n v="1"/>
    <n v="1900"/>
    <n v="0.1"/>
    <n v="600"/>
    <s v="Corporate"/>
    <n v="1710"/>
    <n v="1110"/>
    <n v="2899672.5"/>
    <n v="2210472.5"/>
  </r>
  <r>
    <s v="SO0351"/>
    <x v="42"/>
    <s v="C0060"/>
    <s v="Customer 082"/>
    <s v="Chennai"/>
    <x v="1"/>
    <x v="0"/>
    <s v="Table Lamp"/>
    <n v="1"/>
    <n v="850"/>
    <n v="0"/>
    <n v="250"/>
    <s v="Home Office"/>
    <n v="850"/>
    <n v="600"/>
    <n v="2897962.5"/>
    <n v="2209362.5"/>
  </r>
  <r>
    <s v="SO0352"/>
    <x v="231"/>
    <s v="C0116"/>
    <s v="Customer 014"/>
    <s v="Pune"/>
    <x v="3"/>
    <x v="1"/>
    <s v="Dining Table"/>
    <n v="4"/>
    <n v="15000"/>
    <n v="0.1"/>
    <n v="3500"/>
    <s v="Home Office"/>
    <n v="54000"/>
    <n v="40000"/>
    <n v="2897112.5"/>
    <n v="2208762.5"/>
  </r>
  <r>
    <s v="SO0353"/>
    <x v="140"/>
    <s v="C0130"/>
    <s v="Customer 077"/>
    <s v="Delhi"/>
    <x v="0"/>
    <x v="3"/>
    <s v="Jeans"/>
    <n v="2"/>
    <n v="1400"/>
    <n v="0"/>
    <n v="450"/>
    <s v="Corporate"/>
    <n v="2800"/>
    <n v="1900"/>
    <n v="2843112.5"/>
    <n v="2168762.5"/>
  </r>
  <r>
    <s v="SO0354"/>
    <x v="155"/>
    <s v="C0163"/>
    <s v="Customer 060"/>
    <s v="Chennai"/>
    <x v="2"/>
    <x v="0"/>
    <s v="Table Lamp"/>
    <n v="4"/>
    <n v="850"/>
    <n v="0.1"/>
    <n v="250"/>
    <s v="Home Office"/>
    <n v="3060"/>
    <n v="2060"/>
    <n v="2840312.5"/>
    <n v="2166862.5"/>
  </r>
  <r>
    <s v="SO0355"/>
    <x v="14"/>
    <s v="C0086"/>
    <s v="Customer 128"/>
    <s v="Chennai"/>
    <x v="2"/>
    <x v="0"/>
    <s v="Water Bottle"/>
    <n v="3"/>
    <n v="350"/>
    <n v="0.15"/>
    <n v="100"/>
    <s v="Home Office"/>
    <n v="892.5"/>
    <n v="592.5"/>
    <n v="2837252.5"/>
    <n v="2164802.5"/>
  </r>
  <r>
    <s v="SO0356"/>
    <x v="232"/>
    <s v="C0056"/>
    <s v="Customer 105"/>
    <s v="Bengaluru"/>
    <x v="0"/>
    <x v="0"/>
    <s v="Cookware Set"/>
    <n v="5"/>
    <n v="2400"/>
    <n v="0.05"/>
    <n v="650"/>
    <s v="Consumer"/>
    <n v="11400"/>
    <n v="8150"/>
    <n v="2836360"/>
    <n v="2164210"/>
  </r>
  <r>
    <s v="SO0357"/>
    <x v="233"/>
    <s v="C0022"/>
    <s v="Customer 148"/>
    <s v="Bengaluru"/>
    <x v="3"/>
    <x v="0"/>
    <s v="Water Bottle"/>
    <n v="4"/>
    <n v="350"/>
    <n v="0.15"/>
    <n v="100"/>
    <s v="Home Office"/>
    <n v="1190"/>
    <n v="790"/>
    <n v="2824960"/>
    <n v="2156060"/>
  </r>
  <r>
    <s v="SO0358"/>
    <x v="234"/>
    <s v="C0118"/>
    <s v="Customer 016"/>
    <s v="Jaipur"/>
    <x v="3"/>
    <x v="1"/>
    <s v="Sofa"/>
    <n v="2"/>
    <n v="22000"/>
    <n v="0"/>
    <n v="5000"/>
    <s v="Home Office"/>
    <n v="44000"/>
    <n v="34000"/>
    <n v="2823770"/>
    <n v="2155270"/>
  </r>
  <r>
    <s v="SO0359"/>
    <x v="5"/>
    <s v="C0012"/>
    <s v="Customer 050"/>
    <s v="Bengaluru"/>
    <x v="1"/>
    <x v="1"/>
    <s v="Sofa"/>
    <n v="1"/>
    <n v="22000"/>
    <n v="0.15"/>
    <n v="5000"/>
    <s v="Home Office"/>
    <n v="18700"/>
    <n v="13700"/>
    <n v="2779770"/>
    <n v="2121270"/>
  </r>
  <r>
    <s v="SO0360"/>
    <x v="209"/>
    <s v="C0160"/>
    <s v="Customer 053"/>
    <s v="Mumbai"/>
    <x v="2"/>
    <x v="1"/>
    <s v="Dining Table"/>
    <n v="4"/>
    <n v="15000"/>
    <n v="0"/>
    <n v="3500"/>
    <s v="Consumer"/>
    <n v="60000"/>
    <n v="46000"/>
    <n v="2761070"/>
    <n v="2107570"/>
  </r>
  <r>
    <s v="SO0361"/>
    <x v="119"/>
    <s v="C0027"/>
    <s v="Customer 085"/>
    <s v="Hyderabad"/>
    <x v="2"/>
    <x v="1"/>
    <s v="Dining Table"/>
    <n v="4"/>
    <n v="15000"/>
    <n v="0.05"/>
    <n v="3500"/>
    <s v="Consumer"/>
    <n v="57000"/>
    <n v="43000"/>
    <n v="2701070"/>
    <n v="2061570"/>
  </r>
  <r>
    <s v="SO0362"/>
    <x v="235"/>
    <s v="C0024"/>
    <s v="Customer 125"/>
    <s v="Mumbai"/>
    <x v="0"/>
    <x v="0"/>
    <s v="Cookware Set"/>
    <n v="5"/>
    <n v="2400"/>
    <n v="0"/>
    <n v="650"/>
    <s v="Home Office"/>
    <n v="12000"/>
    <n v="8750"/>
    <n v="2644070"/>
    <n v="2018570"/>
  </r>
  <r>
    <s v="SO0363"/>
    <x v="236"/>
    <s v="C0055"/>
    <s v="Customer 053"/>
    <s v="Delhi"/>
    <x v="3"/>
    <x v="1"/>
    <s v="Office Chair"/>
    <n v="3"/>
    <n v="6500"/>
    <n v="0.1"/>
    <n v="1600"/>
    <s v="Corporate"/>
    <n v="17550"/>
    <n v="12750"/>
    <n v="2632070"/>
    <n v="2009820"/>
  </r>
  <r>
    <s v="SO0364"/>
    <x v="74"/>
    <s v="C0039"/>
    <s v="Customer 168"/>
    <s v="Mumbai"/>
    <x v="3"/>
    <x v="0"/>
    <s v="Bedsheet"/>
    <n v="2"/>
    <n v="1200"/>
    <n v="0.1"/>
    <n v="350"/>
    <s v="Corporate"/>
    <n v="2160"/>
    <n v="1460"/>
    <n v="2614520"/>
    <n v="1997070"/>
  </r>
  <r>
    <s v="SO0365"/>
    <x v="202"/>
    <s v="C0047"/>
    <s v="Customer 043"/>
    <s v="Chennai"/>
    <x v="2"/>
    <x v="3"/>
    <s v="Handbag"/>
    <n v="4"/>
    <n v="1900"/>
    <n v="0"/>
    <n v="600"/>
    <s v="Corporate"/>
    <n v="7600"/>
    <n v="5200"/>
    <n v="2612360"/>
    <n v="1995610"/>
  </r>
  <r>
    <s v="SO0366"/>
    <x v="198"/>
    <s v="C0072"/>
    <s v="Customer 037"/>
    <s v="Hyderabad"/>
    <x v="2"/>
    <x v="2"/>
    <s v="Headphones"/>
    <n v="4"/>
    <n v="1800"/>
    <n v="0"/>
    <n v="650"/>
    <s v="Home Office"/>
    <n v="7200"/>
    <n v="4600"/>
    <n v="2604760"/>
    <n v="1990410"/>
  </r>
  <r>
    <s v="SO0367"/>
    <x v="237"/>
    <s v="C0142"/>
    <s v="Customer 119"/>
    <s v="Hyderabad"/>
    <x v="2"/>
    <x v="3"/>
    <s v="Sneakers"/>
    <n v="1"/>
    <n v="2600"/>
    <n v="0.1"/>
    <n v="800"/>
    <s v="Home Office"/>
    <n v="2340"/>
    <n v="1540"/>
    <n v="2597560"/>
    <n v="1985810"/>
  </r>
  <r>
    <s v="SO0368"/>
    <x v="188"/>
    <s v="C0140"/>
    <s v="Customer 015"/>
    <s v="Chennai"/>
    <x v="0"/>
    <x v="0"/>
    <s v="Bedsheet"/>
    <n v="1"/>
    <n v="1200"/>
    <n v="0"/>
    <n v="350"/>
    <s v="Home Office"/>
    <n v="1200"/>
    <n v="850"/>
    <n v="2595220"/>
    <n v="1984270"/>
  </r>
  <r>
    <s v="SO0369"/>
    <x v="122"/>
    <s v="C0044"/>
    <s v="Customer 156"/>
    <s v="Pune"/>
    <x v="2"/>
    <x v="1"/>
    <s v="Bookshelf"/>
    <n v="4"/>
    <n v="4200"/>
    <n v="0.1"/>
    <n v="1000"/>
    <s v="Corporate"/>
    <n v="15120"/>
    <n v="11120"/>
    <n v="2594020"/>
    <n v="1983420"/>
  </r>
  <r>
    <s v="SO0370"/>
    <x v="182"/>
    <s v="C0133"/>
    <s v="Customer 149"/>
    <s v="Mumbai"/>
    <x v="2"/>
    <x v="2"/>
    <s v="Wireless Mouse"/>
    <n v="3"/>
    <n v="650"/>
    <n v="0.15"/>
    <n v="200"/>
    <s v="Home Office"/>
    <n v="1657.5"/>
    <n v="1057.5"/>
    <n v="2578900"/>
    <n v="1972300"/>
  </r>
  <r>
    <s v="SO0371"/>
    <x v="134"/>
    <s v="C0041"/>
    <s v="Customer 117"/>
    <s v="Delhi"/>
    <x v="0"/>
    <x v="3"/>
    <s v="Jacket"/>
    <n v="5"/>
    <n v="3200"/>
    <n v="0"/>
    <n v="950"/>
    <s v="Corporate"/>
    <n v="16000"/>
    <n v="11250"/>
    <n v="2577242.5"/>
    <n v="1971242.5"/>
  </r>
  <r>
    <s v="SO0372"/>
    <x v="238"/>
    <s v="C0111"/>
    <s v="Customer 119"/>
    <s v="Kolkata"/>
    <x v="0"/>
    <x v="2"/>
    <s v="Laptop"/>
    <n v="1"/>
    <n v="52000"/>
    <n v="0.05"/>
    <n v="9000"/>
    <s v="Corporate"/>
    <n v="49400"/>
    <n v="40400"/>
    <n v="2561242.5"/>
    <n v="1959992.5"/>
  </r>
  <r>
    <s v="SO0373"/>
    <x v="102"/>
    <s v="C0033"/>
    <s v="Customer 161"/>
    <s v="Mumbai"/>
    <x v="2"/>
    <x v="0"/>
    <s v="Table Lamp"/>
    <n v="2"/>
    <n v="850"/>
    <n v="0.05"/>
    <n v="250"/>
    <s v="Consumer"/>
    <n v="1615"/>
    <n v="1115"/>
    <n v="2511842.5"/>
    <n v="1919592.5"/>
  </r>
  <r>
    <s v="SO0374"/>
    <x v="161"/>
    <s v="C0130"/>
    <s v="Customer 175"/>
    <s v="Delhi"/>
    <x v="2"/>
    <x v="0"/>
    <s v="Mixer Grinder"/>
    <n v="2"/>
    <n v="2800"/>
    <n v="0.1"/>
    <n v="750"/>
    <s v="Corporate"/>
    <n v="5040"/>
    <n v="3540"/>
    <n v="2510227.5"/>
    <n v="1918477.5"/>
  </r>
  <r>
    <s v="SO0375"/>
    <x v="239"/>
    <s v="C0179"/>
    <s v="Customer 142"/>
    <s v="Kolkata"/>
    <x v="3"/>
    <x v="3"/>
    <s v="T-Shirt"/>
    <n v="1"/>
    <n v="550"/>
    <n v="0.1"/>
    <n v="180"/>
    <s v="Consumer"/>
    <n v="495"/>
    <n v="315"/>
    <n v="2505187.5"/>
    <n v="1914937.5"/>
  </r>
  <r>
    <s v="SO0376"/>
    <x v="93"/>
    <s v="C0088"/>
    <s v="Customer 138"/>
    <s v="Delhi"/>
    <x v="2"/>
    <x v="1"/>
    <s v="Study Table"/>
    <n v="5"/>
    <n v="8500"/>
    <n v="0.05"/>
    <n v="2100"/>
    <s v="Home Office"/>
    <n v="40375"/>
    <n v="29875"/>
    <n v="2504692.5"/>
    <n v="1914622.5"/>
  </r>
  <r>
    <s v="SO0377"/>
    <x v="39"/>
    <s v="C0175"/>
    <s v="Customer 001"/>
    <s v="Bengaluru"/>
    <x v="3"/>
    <x v="0"/>
    <s v="Table Lamp"/>
    <n v="3"/>
    <n v="850"/>
    <n v="0"/>
    <n v="250"/>
    <s v="Home Office"/>
    <n v="2550"/>
    <n v="1800"/>
    <n v="2464317.5"/>
    <n v="1884747.5"/>
  </r>
  <r>
    <s v="SO0378"/>
    <x v="100"/>
    <s v="C0138"/>
    <s v="Customer 146"/>
    <s v="Mumbai"/>
    <x v="1"/>
    <x v="1"/>
    <s v="Office Chair"/>
    <n v="1"/>
    <n v="6500"/>
    <n v="0"/>
    <n v="1600"/>
    <s v="Home Office"/>
    <n v="6500"/>
    <n v="4900"/>
    <n v="2461767.5"/>
    <n v="1882947.5"/>
  </r>
  <r>
    <s v="SO0379"/>
    <x v="42"/>
    <s v="C0083"/>
    <s v="Customer 174"/>
    <s v="Kolkata"/>
    <x v="0"/>
    <x v="0"/>
    <s v="Mixer Grinder"/>
    <n v="1"/>
    <n v="2800"/>
    <n v="0"/>
    <n v="750"/>
    <s v="Consumer"/>
    <n v="2800"/>
    <n v="2050"/>
    <n v="2455267.5"/>
    <n v="1878047.5"/>
  </r>
  <r>
    <s v="SO0380"/>
    <x v="240"/>
    <s v="C0061"/>
    <s v="Customer 172"/>
    <s v="Jaipur"/>
    <x v="3"/>
    <x v="1"/>
    <s v="Dining Table"/>
    <n v="2"/>
    <n v="15000"/>
    <n v="0"/>
    <n v="3500"/>
    <s v="Home Office"/>
    <n v="30000"/>
    <n v="23000"/>
    <n v="2452467.5"/>
    <n v="1875997.5"/>
  </r>
  <r>
    <s v="SO0381"/>
    <x v="71"/>
    <s v="C0016"/>
    <s v="Customer 102"/>
    <s v="Mumbai"/>
    <x v="0"/>
    <x v="2"/>
    <s v="Wireless Mouse"/>
    <n v="3"/>
    <n v="650"/>
    <n v="0"/>
    <n v="200"/>
    <s v="Consumer"/>
    <n v="1950"/>
    <n v="1350"/>
    <n v="2422467.5"/>
    <n v="1852997.5"/>
  </r>
  <r>
    <s v="SO0382"/>
    <x v="241"/>
    <s v="C0146"/>
    <s v="Customer 123"/>
    <s v="Bengaluru"/>
    <x v="1"/>
    <x v="2"/>
    <s v="Wireless Mouse"/>
    <n v="2"/>
    <n v="650"/>
    <n v="0.05"/>
    <n v="200"/>
    <s v="Consumer"/>
    <n v="1235"/>
    <n v="835"/>
    <n v="2420517.5"/>
    <n v="1851647.5"/>
  </r>
  <r>
    <s v="SO0383"/>
    <x v="191"/>
    <s v="C0031"/>
    <s v="Customer 052"/>
    <s v="Jaipur"/>
    <x v="3"/>
    <x v="2"/>
    <s v="Keyboard"/>
    <n v="3"/>
    <n v="950"/>
    <n v="0.1"/>
    <n v="300"/>
    <s v="Corporate"/>
    <n v="2565"/>
    <n v="1665"/>
    <n v="2419282.5"/>
    <n v="1850812.5"/>
  </r>
  <r>
    <s v="SO0384"/>
    <x v="116"/>
    <s v="C0029"/>
    <s v="Customer 076"/>
    <s v="Delhi"/>
    <x v="0"/>
    <x v="2"/>
    <s v="Headphones"/>
    <n v="3"/>
    <n v="1800"/>
    <n v="0"/>
    <n v="650"/>
    <s v="Consumer"/>
    <n v="5400"/>
    <n v="3450"/>
    <n v="2416717.5"/>
    <n v="1849147.5"/>
  </r>
  <r>
    <s v="SO0385"/>
    <x v="92"/>
    <s v="C0115"/>
    <s v="Customer 122"/>
    <s v="Bengaluru"/>
    <x v="0"/>
    <x v="0"/>
    <s v="Bedsheet"/>
    <n v="5"/>
    <n v="1200"/>
    <n v="0"/>
    <n v="350"/>
    <s v="Home Office"/>
    <n v="6000"/>
    <n v="4250"/>
    <n v="2411317.5"/>
    <n v="1845697.5"/>
  </r>
  <r>
    <s v="SO0386"/>
    <x v="31"/>
    <s v="C0012"/>
    <s v="Customer 037"/>
    <s v="Pune"/>
    <x v="2"/>
    <x v="1"/>
    <s v="Study Table"/>
    <n v="5"/>
    <n v="8500"/>
    <n v="0"/>
    <n v="2100"/>
    <s v="Home Office"/>
    <n v="42500"/>
    <n v="32000"/>
    <n v="2405317.5"/>
    <n v="1841447.5"/>
  </r>
  <r>
    <s v="SO0387"/>
    <x v="242"/>
    <s v="C0162"/>
    <s v="Customer 114"/>
    <s v="Chennai"/>
    <x v="0"/>
    <x v="3"/>
    <s v="Jeans"/>
    <n v="5"/>
    <n v="1400"/>
    <n v="0.15"/>
    <n v="450"/>
    <s v="Home Office"/>
    <n v="5950"/>
    <n v="3700"/>
    <n v="2362817.5"/>
    <n v="1809447.5"/>
  </r>
  <r>
    <s v="SO0388"/>
    <x v="24"/>
    <s v="C0031"/>
    <s v="Customer 117"/>
    <s v="Mumbai"/>
    <x v="3"/>
    <x v="0"/>
    <s v="Bedsheet"/>
    <n v="5"/>
    <n v="1200"/>
    <n v="0.15"/>
    <n v="350"/>
    <s v="Home Office"/>
    <n v="5100"/>
    <n v="3350"/>
    <n v="2356867.5"/>
    <n v="1805747.5"/>
  </r>
  <r>
    <s v="SO0389"/>
    <x v="40"/>
    <s v="C0060"/>
    <s v="Customer 066"/>
    <s v="Bengaluru"/>
    <x v="2"/>
    <x v="0"/>
    <s v="Table Lamp"/>
    <n v="4"/>
    <n v="850"/>
    <n v="0.15"/>
    <n v="250"/>
    <s v="Consumer"/>
    <n v="2890"/>
    <n v="1890"/>
    <n v="2351767.5"/>
    <n v="1802397.5"/>
  </r>
  <r>
    <s v="SO0390"/>
    <x v="122"/>
    <s v="C0157"/>
    <s v="Customer 155"/>
    <s v="Chennai"/>
    <x v="2"/>
    <x v="3"/>
    <s v="Handbag"/>
    <n v="4"/>
    <n v="1900"/>
    <n v="0.1"/>
    <n v="600"/>
    <s v="Home Office"/>
    <n v="6840"/>
    <n v="4440"/>
    <n v="2348877.5"/>
    <n v="1800507.5"/>
  </r>
  <r>
    <s v="SO0391"/>
    <x v="205"/>
    <s v="C0098"/>
    <s v="Customer 114"/>
    <s v="Jaipur"/>
    <x v="2"/>
    <x v="3"/>
    <s v="Jeans"/>
    <n v="4"/>
    <n v="1400"/>
    <n v="0.15"/>
    <n v="450"/>
    <s v="Consumer"/>
    <n v="4760"/>
    <n v="2960"/>
    <n v="2342037.5"/>
    <n v="1796067.5"/>
  </r>
  <r>
    <s v="SO0392"/>
    <x v="159"/>
    <s v="C0066"/>
    <s v="Customer 043"/>
    <s v="Kolkata"/>
    <x v="0"/>
    <x v="0"/>
    <s v="Table Lamp"/>
    <n v="1"/>
    <n v="850"/>
    <n v="0"/>
    <n v="250"/>
    <s v="Consumer"/>
    <n v="850"/>
    <n v="600"/>
    <n v="2337277.5"/>
    <n v="1793107.5"/>
  </r>
  <r>
    <s v="SO0393"/>
    <x v="224"/>
    <s v="C0020"/>
    <s v="Customer 064"/>
    <s v="Chennai"/>
    <x v="3"/>
    <x v="1"/>
    <s v="Bookshelf"/>
    <n v="2"/>
    <n v="4200"/>
    <n v="0.15"/>
    <n v="1000"/>
    <s v="Home Office"/>
    <n v="7140"/>
    <n v="5140"/>
    <n v="2336427.5"/>
    <n v="1792507.5"/>
  </r>
  <r>
    <s v="SO0394"/>
    <x v="208"/>
    <s v="C0074"/>
    <s v="Customer 065"/>
    <s v="Pune"/>
    <x v="0"/>
    <x v="0"/>
    <s v="Mixer Grinder"/>
    <n v="2"/>
    <n v="2800"/>
    <n v="0"/>
    <n v="750"/>
    <s v="Consumer"/>
    <n v="5600"/>
    <n v="4100"/>
    <n v="2329287.5"/>
    <n v="1787367.5"/>
  </r>
  <r>
    <s v="SO0395"/>
    <x v="51"/>
    <s v="C0153"/>
    <s v="Customer 130"/>
    <s v="Hyderabad"/>
    <x v="3"/>
    <x v="1"/>
    <s v="Study Table"/>
    <n v="4"/>
    <n v="8500"/>
    <n v="0"/>
    <n v="2100"/>
    <s v="Corporate"/>
    <n v="34000"/>
    <n v="25600"/>
    <n v="2323687.5"/>
    <n v="1783267.5"/>
  </r>
  <r>
    <s v="SO0396"/>
    <x v="243"/>
    <s v="C0002"/>
    <s v="Customer 151"/>
    <s v="Kolkata"/>
    <x v="1"/>
    <x v="3"/>
    <s v="Jeans"/>
    <n v="4"/>
    <n v="1400"/>
    <n v="0"/>
    <n v="450"/>
    <s v="Consumer"/>
    <n v="5600"/>
    <n v="3800"/>
    <n v="2289687.5"/>
    <n v="1757667.5"/>
  </r>
  <r>
    <s v="SO0397"/>
    <x v="116"/>
    <s v="C0171"/>
    <s v="Customer 125"/>
    <s v="Mumbai"/>
    <x v="1"/>
    <x v="2"/>
    <s v="Keyboard"/>
    <n v="5"/>
    <n v="950"/>
    <n v="0.1"/>
    <n v="300"/>
    <s v="Home Office"/>
    <n v="4275"/>
    <n v="2775"/>
    <n v="2284087.5"/>
    <n v="1753867.5"/>
  </r>
  <r>
    <s v="SO0398"/>
    <x v="93"/>
    <s v="C0092"/>
    <s v="Customer 118"/>
    <s v="Kolkata"/>
    <x v="3"/>
    <x v="3"/>
    <s v="T-Shirt"/>
    <n v="5"/>
    <n v="550"/>
    <n v="0"/>
    <n v="180"/>
    <s v="Home Office"/>
    <n v="2750"/>
    <n v="1850"/>
    <n v="2279812.5"/>
    <n v="1751092.5"/>
  </r>
  <r>
    <s v="SO0399"/>
    <x v="233"/>
    <s v="C0177"/>
    <s v="Customer 047"/>
    <s v="Mumbai"/>
    <x v="2"/>
    <x v="3"/>
    <s v="T-Shirt"/>
    <n v="5"/>
    <n v="550"/>
    <n v="0.15"/>
    <n v="180"/>
    <s v="Home Office"/>
    <n v="2337.5"/>
    <n v="1437.5"/>
    <n v="2277062.5"/>
    <n v="1749242.5"/>
  </r>
  <r>
    <s v="SO0400"/>
    <x v="17"/>
    <s v="C0036"/>
    <s v="Customer 039"/>
    <s v="Mumbai"/>
    <x v="1"/>
    <x v="0"/>
    <s v="Bedsheet"/>
    <n v="4"/>
    <n v="1200"/>
    <n v="0"/>
    <n v="350"/>
    <s v="Home Office"/>
    <n v="4800"/>
    <n v="3400"/>
    <n v="2274725"/>
    <n v="1747805"/>
  </r>
  <r>
    <s v="SO0401"/>
    <x v="184"/>
    <s v="C0020"/>
    <s v="Customer 179"/>
    <s v="Kolkata"/>
    <x v="2"/>
    <x v="0"/>
    <s v="Table Lamp"/>
    <n v="1"/>
    <n v="850"/>
    <n v="0.05"/>
    <n v="250"/>
    <s v="Consumer"/>
    <n v="807.5"/>
    <n v="557.5"/>
    <n v="2269925"/>
    <n v="1744405"/>
  </r>
  <r>
    <s v="SO0402"/>
    <x v="39"/>
    <s v="C0144"/>
    <s v="Customer 174"/>
    <s v="Delhi"/>
    <x v="0"/>
    <x v="0"/>
    <s v="Mixer Grinder"/>
    <n v="1"/>
    <n v="2800"/>
    <n v="0.05"/>
    <n v="750"/>
    <s v="Home Office"/>
    <n v="2660"/>
    <n v="1910"/>
    <n v="2269117.5"/>
    <n v="1743847.5"/>
  </r>
  <r>
    <s v="SO0403"/>
    <x v="74"/>
    <s v="C0008"/>
    <s v="Customer 015"/>
    <s v="Mumbai"/>
    <x v="0"/>
    <x v="1"/>
    <s v="Bookshelf"/>
    <n v="4"/>
    <n v="4200"/>
    <n v="0"/>
    <n v="1000"/>
    <s v="Consumer"/>
    <n v="16800"/>
    <n v="12800"/>
    <n v="2266457.5"/>
    <n v="1741937.5"/>
  </r>
  <r>
    <s v="SO0404"/>
    <x v="233"/>
    <s v="C0141"/>
    <s v="Customer 082"/>
    <s v="Pune"/>
    <x v="1"/>
    <x v="1"/>
    <s v="Bookshelf"/>
    <n v="4"/>
    <n v="4200"/>
    <n v="0"/>
    <n v="1000"/>
    <s v="Home Office"/>
    <n v="16800"/>
    <n v="12800"/>
    <n v="2249657.5"/>
    <n v="1729137.5"/>
  </r>
  <r>
    <s v="SO0405"/>
    <x v="215"/>
    <s v="C0048"/>
    <s v="Customer 132"/>
    <s v="Pune"/>
    <x v="0"/>
    <x v="2"/>
    <s v="Keyboard"/>
    <n v="5"/>
    <n v="950"/>
    <n v="0.05"/>
    <n v="300"/>
    <s v="Home Office"/>
    <n v="4512.5"/>
    <n v="3012.5"/>
    <n v="2232857.5"/>
    <n v="1716337.5"/>
  </r>
  <r>
    <s v="SO0406"/>
    <x v="32"/>
    <s v="C0052"/>
    <s v="Customer 004"/>
    <s v="Pune"/>
    <x v="3"/>
    <x v="2"/>
    <s v="Headphones"/>
    <n v="1"/>
    <n v="1800"/>
    <n v="0.15"/>
    <n v="650"/>
    <s v="Corporate"/>
    <n v="1530"/>
    <n v="880"/>
    <n v="2228345"/>
    <n v="1713325"/>
  </r>
  <r>
    <s v="SO0407"/>
    <x v="53"/>
    <s v="C0140"/>
    <s v="Customer 020"/>
    <s v="Jaipur"/>
    <x v="0"/>
    <x v="1"/>
    <s v="Study Table"/>
    <n v="5"/>
    <n v="8500"/>
    <n v="0.1"/>
    <n v="2100"/>
    <s v="Corporate"/>
    <n v="38250"/>
    <n v="27750"/>
    <n v="2226815"/>
    <n v="1712445"/>
  </r>
  <r>
    <s v="SO0408"/>
    <x v="206"/>
    <s v="C0174"/>
    <s v="Customer 114"/>
    <s v="Hyderabad"/>
    <x v="2"/>
    <x v="0"/>
    <s v="Table Lamp"/>
    <n v="5"/>
    <n v="850"/>
    <n v="0.15"/>
    <n v="250"/>
    <s v="Home Office"/>
    <n v="3612.5"/>
    <n v="2362.5"/>
    <n v="2188565"/>
    <n v="1684695"/>
  </r>
  <r>
    <s v="SO0409"/>
    <x v="16"/>
    <s v="C0004"/>
    <s v="Customer 016"/>
    <s v="Jaipur"/>
    <x v="2"/>
    <x v="2"/>
    <s v="Headphones"/>
    <n v="4"/>
    <n v="1800"/>
    <n v="0.05"/>
    <n v="650"/>
    <s v="Corporate"/>
    <n v="6840"/>
    <n v="4240"/>
    <n v="2184952.5"/>
    <n v="1682332.5"/>
  </r>
  <r>
    <s v="SO0410"/>
    <x v="113"/>
    <s v="C0104"/>
    <s v="Customer 050"/>
    <s v="Hyderabad"/>
    <x v="1"/>
    <x v="0"/>
    <s v="Water Bottle"/>
    <n v="3"/>
    <n v="350"/>
    <n v="0.15"/>
    <n v="100"/>
    <s v="Home Office"/>
    <n v="892.5"/>
    <n v="592.5"/>
    <n v="2178112.5"/>
    <n v="1678092.5"/>
  </r>
  <r>
    <s v="SO0411"/>
    <x v="75"/>
    <s v="C0047"/>
    <s v="Customer 123"/>
    <s v="Mumbai"/>
    <x v="2"/>
    <x v="2"/>
    <s v="Headphones"/>
    <n v="4"/>
    <n v="1800"/>
    <n v="0"/>
    <n v="650"/>
    <s v="Consumer"/>
    <n v="7200"/>
    <n v="4600"/>
    <n v="2177220"/>
    <n v="1677500"/>
  </r>
  <r>
    <s v="SO0412"/>
    <x v="141"/>
    <s v="C0052"/>
    <s v="Customer 098"/>
    <s v="Chennai"/>
    <x v="3"/>
    <x v="2"/>
    <s v="Wireless Mouse"/>
    <n v="1"/>
    <n v="650"/>
    <n v="0.05"/>
    <n v="200"/>
    <s v="Home Office"/>
    <n v="617.5"/>
    <n v="417.5"/>
    <n v="2170020"/>
    <n v="1672900"/>
  </r>
  <r>
    <s v="SO0413"/>
    <x v="216"/>
    <s v="C0101"/>
    <s v="Customer 180"/>
    <s v="Bengaluru"/>
    <x v="0"/>
    <x v="1"/>
    <s v="Sofa"/>
    <n v="2"/>
    <n v="22000"/>
    <n v="0.05"/>
    <n v="5000"/>
    <s v="Corporate"/>
    <n v="41800"/>
    <n v="31800"/>
    <n v="2169402.5"/>
    <n v="1672482.5"/>
  </r>
  <r>
    <s v="SO0414"/>
    <x v="244"/>
    <s v="C0093"/>
    <s v="Customer 104"/>
    <s v="Kolkata"/>
    <x v="0"/>
    <x v="3"/>
    <s v="Handbag"/>
    <n v="5"/>
    <n v="1900"/>
    <n v="0"/>
    <n v="600"/>
    <s v="Corporate"/>
    <n v="9500"/>
    <n v="6500"/>
    <n v="2127602.5"/>
    <n v="1640682.5"/>
  </r>
  <r>
    <s v="SO0415"/>
    <x v="73"/>
    <s v="C0112"/>
    <s v="Customer 163"/>
    <s v="Pune"/>
    <x v="0"/>
    <x v="0"/>
    <s v="Cookware Set"/>
    <n v="3"/>
    <n v="2400"/>
    <n v="0.05"/>
    <n v="650"/>
    <s v="Consumer"/>
    <n v="6840"/>
    <n v="4890"/>
    <n v="2118102.5"/>
    <n v="1634182.5"/>
  </r>
  <r>
    <s v="SO0416"/>
    <x v="245"/>
    <s v="C0104"/>
    <s v="Customer 152"/>
    <s v="Chennai"/>
    <x v="3"/>
    <x v="1"/>
    <s v="Bookshelf"/>
    <n v="4"/>
    <n v="4200"/>
    <n v="0"/>
    <n v="1000"/>
    <s v="Home Office"/>
    <n v="16800"/>
    <n v="12800"/>
    <n v="2111262.5"/>
    <n v="1629292.5"/>
  </r>
  <r>
    <s v="SO0417"/>
    <x v="191"/>
    <s v="C0062"/>
    <s v="Customer 152"/>
    <s v="Jaipur"/>
    <x v="2"/>
    <x v="1"/>
    <s v="Office Chair"/>
    <n v="3"/>
    <n v="6500"/>
    <n v="0.05"/>
    <n v="1600"/>
    <s v="Consumer"/>
    <n v="18525"/>
    <n v="13725"/>
    <n v="2094462.5"/>
    <n v="1616492.5"/>
  </r>
  <r>
    <s v="SO0418"/>
    <x v="246"/>
    <s v="C0153"/>
    <s v="Customer 103"/>
    <s v="Chennai"/>
    <x v="2"/>
    <x v="2"/>
    <s v="Wireless Mouse"/>
    <n v="5"/>
    <n v="650"/>
    <n v="0"/>
    <n v="200"/>
    <s v="Home Office"/>
    <n v="3250"/>
    <n v="2250"/>
    <n v="2075937.5"/>
    <n v="1602767.5"/>
  </r>
  <r>
    <s v="SO0419"/>
    <x v="21"/>
    <s v="C0083"/>
    <s v="Customer 084"/>
    <s v="Delhi"/>
    <x v="2"/>
    <x v="1"/>
    <s v="Study Table"/>
    <n v="3"/>
    <n v="8500"/>
    <n v="0.05"/>
    <n v="2100"/>
    <s v="Consumer"/>
    <n v="24225"/>
    <n v="17925"/>
    <n v="2072687.5"/>
    <n v="1600517.5"/>
  </r>
  <r>
    <s v="SO0420"/>
    <x v="56"/>
    <s v="C0055"/>
    <s v="Customer 080"/>
    <s v="Chennai"/>
    <x v="1"/>
    <x v="1"/>
    <s v="Office Chair"/>
    <n v="1"/>
    <n v="6500"/>
    <n v="0"/>
    <n v="1600"/>
    <s v="Corporate"/>
    <n v="6500"/>
    <n v="4900"/>
    <n v="2048462.5"/>
    <n v="1582592.5"/>
  </r>
  <r>
    <s v="SO0421"/>
    <x v="166"/>
    <s v="C0039"/>
    <s v="Customer 038"/>
    <s v="Delhi"/>
    <x v="2"/>
    <x v="2"/>
    <s v="Laptop"/>
    <n v="2"/>
    <n v="52000"/>
    <n v="0.05"/>
    <n v="9000"/>
    <s v="Consumer"/>
    <n v="98800"/>
    <n v="80800"/>
    <n v="2041962.5"/>
    <n v="1577692.5"/>
  </r>
  <r>
    <s v="SO0422"/>
    <x v="74"/>
    <s v="C0173"/>
    <s v="Customer 014"/>
    <s v="Bengaluru"/>
    <x v="1"/>
    <x v="2"/>
    <s v="Laptop"/>
    <n v="1"/>
    <n v="52000"/>
    <n v="0"/>
    <n v="9000"/>
    <s v="Consumer"/>
    <n v="52000"/>
    <n v="43000"/>
    <n v="1943162.5"/>
    <n v="1496892.5"/>
  </r>
  <r>
    <s v="SO0423"/>
    <x v="44"/>
    <s v="C0029"/>
    <s v="Customer 159"/>
    <s v="Hyderabad"/>
    <x v="3"/>
    <x v="1"/>
    <s v="Bookshelf"/>
    <n v="4"/>
    <n v="4200"/>
    <n v="0"/>
    <n v="1000"/>
    <s v="Home Office"/>
    <n v="16800"/>
    <n v="12800"/>
    <n v="1891162.5"/>
    <n v="1453892.5"/>
  </r>
  <r>
    <s v="SO0424"/>
    <x v="5"/>
    <s v="C0163"/>
    <s v="Customer 151"/>
    <s v="Delhi"/>
    <x v="1"/>
    <x v="1"/>
    <s v="Study Table"/>
    <n v="5"/>
    <n v="8500"/>
    <n v="0.05"/>
    <n v="2100"/>
    <s v="Home Office"/>
    <n v="40375"/>
    <n v="29875"/>
    <n v="1874362.5"/>
    <n v="1441092.5"/>
  </r>
  <r>
    <s v="SO0425"/>
    <x v="38"/>
    <s v="C0148"/>
    <s v="Customer 046"/>
    <s v="Delhi"/>
    <x v="0"/>
    <x v="0"/>
    <s v="Table Lamp"/>
    <n v="5"/>
    <n v="850"/>
    <n v="0"/>
    <n v="250"/>
    <s v="Corporate"/>
    <n v="4250"/>
    <n v="3000"/>
    <n v="1833987.5"/>
    <n v="1411217.5"/>
  </r>
  <r>
    <s v="SO0426"/>
    <x v="60"/>
    <s v="C0100"/>
    <s v="Customer 173"/>
    <s v="Jaipur"/>
    <x v="1"/>
    <x v="2"/>
    <s v="Wireless Mouse"/>
    <n v="2"/>
    <n v="650"/>
    <n v="0"/>
    <n v="200"/>
    <s v="Corporate"/>
    <n v="1300"/>
    <n v="900"/>
    <n v="1829737.5"/>
    <n v="1408217.5"/>
  </r>
  <r>
    <s v="SO0427"/>
    <x v="199"/>
    <s v="C0139"/>
    <s v="Customer 118"/>
    <s v="Kolkata"/>
    <x v="3"/>
    <x v="1"/>
    <s v="Office Chair"/>
    <n v="3"/>
    <n v="6500"/>
    <n v="0.15"/>
    <n v="1600"/>
    <s v="Home Office"/>
    <n v="16575"/>
    <n v="11775"/>
    <n v="1828437.5"/>
    <n v="1407317.5"/>
  </r>
  <r>
    <s v="SO0428"/>
    <x v="247"/>
    <s v="C0065"/>
    <s v="Customer 144"/>
    <s v="Kolkata"/>
    <x v="3"/>
    <x v="1"/>
    <s v="Dining Table"/>
    <n v="1"/>
    <n v="15000"/>
    <n v="0.1"/>
    <n v="3500"/>
    <s v="Consumer"/>
    <n v="13500"/>
    <n v="10000"/>
    <n v="1811862.5"/>
    <n v="1395542.5"/>
  </r>
  <r>
    <s v="SO0429"/>
    <x v="99"/>
    <s v="C0026"/>
    <s v="Customer 086"/>
    <s v="Chennai"/>
    <x v="3"/>
    <x v="1"/>
    <s v="Office Chair"/>
    <n v="5"/>
    <n v="6500"/>
    <n v="0.05"/>
    <n v="1600"/>
    <s v="Home Office"/>
    <n v="30875"/>
    <n v="22875"/>
    <n v="1798362.5"/>
    <n v="1385542.5"/>
  </r>
  <r>
    <s v="SO0430"/>
    <x v="248"/>
    <s v="C0108"/>
    <s v="Customer 041"/>
    <s v="Hyderabad"/>
    <x v="1"/>
    <x v="2"/>
    <s v="Wireless Mouse"/>
    <n v="3"/>
    <n v="650"/>
    <n v="0.15"/>
    <n v="200"/>
    <s v="Corporate"/>
    <n v="1657.5"/>
    <n v="1057.5"/>
    <n v="1767487.5"/>
    <n v="1362667.5"/>
  </r>
  <r>
    <s v="SO0431"/>
    <x v="249"/>
    <s v="C0024"/>
    <s v="Customer 064"/>
    <s v="Jaipur"/>
    <x v="3"/>
    <x v="1"/>
    <s v="Office Chair"/>
    <n v="5"/>
    <n v="6500"/>
    <n v="0.05"/>
    <n v="1600"/>
    <s v="Consumer"/>
    <n v="30875"/>
    <n v="22875"/>
    <n v="1765830"/>
    <n v="1361610"/>
  </r>
  <r>
    <s v="SO0432"/>
    <x v="250"/>
    <s v="C0158"/>
    <s v="Customer 005"/>
    <s v="Hyderabad"/>
    <x v="1"/>
    <x v="1"/>
    <s v="Study Table"/>
    <n v="4"/>
    <n v="8500"/>
    <n v="0"/>
    <n v="2100"/>
    <s v="Home Office"/>
    <n v="34000"/>
    <n v="25600"/>
    <n v="1734955"/>
    <n v="1338735"/>
  </r>
  <r>
    <s v="SO0433"/>
    <x v="251"/>
    <s v="C0109"/>
    <s v="Customer 062"/>
    <s v="Pune"/>
    <x v="1"/>
    <x v="2"/>
    <s v="Keyboard"/>
    <n v="4"/>
    <n v="950"/>
    <n v="0.1"/>
    <n v="300"/>
    <s v="Home Office"/>
    <n v="3420"/>
    <n v="2220"/>
    <n v="1700955"/>
    <n v="1313135"/>
  </r>
  <r>
    <s v="SO0434"/>
    <x v="252"/>
    <s v="C0006"/>
    <s v="Customer 003"/>
    <s v="Pune"/>
    <x v="1"/>
    <x v="2"/>
    <s v="Smartphone"/>
    <n v="2"/>
    <n v="18000"/>
    <n v="0.05"/>
    <n v="3000"/>
    <s v="Home Office"/>
    <n v="34200"/>
    <n v="28200"/>
    <n v="1697535"/>
    <n v="1310915"/>
  </r>
  <r>
    <s v="SO0435"/>
    <x v="99"/>
    <s v="C0094"/>
    <s v="Customer 148"/>
    <s v="Hyderabad"/>
    <x v="1"/>
    <x v="0"/>
    <s v="Water Bottle"/>
    <n v="4"/>
    <n v="350"/>
    <n v="0.15"/>
    <n v="100"/>
    <s v="Consumer"/>
    <n v="1190"/>
    <n v="790"/>
    <n v="1663335"/>
    <n v="1282715"/>
  </r>
  <r>
    <s v="SO0436"/>
    <x v="253"/>
    <s v="C0049"/>
    <s v="Customer 035"/>
    <s v="Mumbai"/>
    <x v="2"/>
    <x v="1"/>
    <s v="Office Chair"/>
    <n v="3"/>
    <n v="6500"/>
    <n v="0"/>
    <n v="1600"/>
    <s v="Consumer"/>
    <n v="19500"/>
    <n v="14700"/>
    <n v="1662145"/>
    <n v="1281925"/>
  </r>
  <r>
    <s v="SO0437"/>
    <x v="12"/>
    <s v="C0090"/>
    <s v="Customer 063"/>
    <s v="Jaipur"/>
    <x v="1"/>
    <x v="1"/>
    <s v="Office Chair"/>
    <n v="5"/>
    <n v="6500"/>
    <n v="0"/>
    <n v="1600"/>
    <s v="Consumer"/>
    <n v="32500"/>
    <n v="24500"/>
    <n v="1642645"/>
    <n v="1267225"/>
  </r>
  <r>
    <s v="SO0438"/>
    <x v="235"/>
    <s v="C0155"/>
    <s v="Customer 035"/>
    <s v="Kolkata"/>
    <x v="3"/>
    <x v="1"/>
    <s v="Study Table"/>
    <n v="5"/>
    <n v="8500"/>
    <n v="0.15"/>
    <n v="2100"/>
    <s v="Consumer"/>
    <n v="36125"/>
    <n v="25625"/>
    <n v="1610145"/>
    <n v="1242725"/>
  </r>
  <r>
    <s v="SO0439"/>
    <x v="29"/>
    <s v="C0058"/>
    <s v="Customer 009"/>
    <s v="Pune"/>
    <x v="2"/>
    <x v="2"/>
    <s v="Headphones"/>
    <n v="5"/>
    <n v="1800"/>
    <n v="0"/>
    <n v="650"/>
    <s v="Home Office"/>
    <n v="9000"/>
    <n v="5750"/>
    <n v="1574020"/>
    <n v="1217100"/>
  </r>
  <r>
    <s v="SO0440"/>
    <x v="254"/>
    <s v="C0097"/>
    <s v="Customer 152"/>
    <s v="Bengaluru"/>
    <x v="1"/>
    <x v="3"/>
    <s v="Jeans"/>
    <n v="1"/>
    <n v="1400"/>
    <n v="0.05"/>
    <n v="450"/>
    <s v="Consumer"/>
    <n v="1330"/>
    <n v="880"/>
    <n v="1565020"/>
    <n v="1211350"/>
  </r>
  <r>
    <s v="SO0441"/>
    <x v="219"/>
    <s v="C0086"/>
    <s v="Customer 073"/>
    <s v="Kolkata"/>
    <x v="0"/>
    <x v="1"/>
    <s v="Bookshelf"/>
    <n v="4"/>
    <n v="4200"/>
    <n v="0"/>
    <n v="1000"/>
    <s v="Consumer"/>
    <n v="16800"/>
    <n v="12800"/>
    <n v="1563690"/>
    <n v="1210470"/>
  </r>
  <r>
    <s v="SO0442"/>
    <x v="88"/>
    <s v="C0074"/>
    <s v="Customer 131"/>
    <s v="Jaipur"/>
    <x v="2"/>
    <x v="1"/>
    <s v="Sofa"/>
    <n v="1"/>
    <n v="22000"/>
    <n v="0.1"/>
    <n v="5000"/>
    <s v="Corporate"/>
    <n v="19800"/>
    <n v="14800"/>
    <n v="1546890"/>
    <n v="1197670"/>
  </r>
  <r>
    <s v="SO0443"/>
    <x v="89"/>
    <s v="C0122"/>
    <s v="Customer 020"/>
    <s v="Delhi"/>
    <x v="2"/>
    <x v="0"/>
    <s v="Bedsheet"/>
    <n v="4"/>
    <n v="1200"/>
    <n v="0.15"/>
    <n v="350"/>
    <s v="Consumer"/>
    <n v="4080"/>
    <n v="2680"/>
    <n v="1527090"/>
    <n v="1182870"/>
  </r>
  <r>
    <s v="SO0444"/>
    <x v="255"/>
    <s v="C0094"/>
    <s v="Customer 077"/>
    <s v="Hyderabad"/>
    <x v="2"/>
    <x v="1"/>
    <s v="Sofa"/>
    <n v="1"/>
    <n v="22000"/>
    <n v="0.1"/>
    <n v="5000"/>
    <s v="Consumer"/>
    <n v="19800"/>
    <n v="14800"/>
    <n v="1523010"/>
    <n v="1180190"/>
  </r>
  <r>
    <s v="SO0445"/>
    <x v="256"/>
    <s v="C0045"/>
    <s v="Customer 055"/>
    <s v="Kolkata"/>
    <x v="1"/>
    <x v="3"/>
    <s v="Jacket"/>
    <n v="1"/>
    <n v="3200"/>
    <n v="0.1"/>
    <n v="950"/>
    <s v="Corporate"/>
    <n v="2880"/>
    <n v="1930"/>
    <n v="1503210"/>
    <n v="1165390"/>
  </r>
  <r>
    <s v="SO0446"/>
    <x v="250"/>
    <s v="C0032"/>
    <s v="Customer 142"/>
    <s v="Bengaluru"/>
    <x v="3"/>
    <x v="3"/>
    <s v="T-Shirt"/>
    <n v="1"/>
    <n v="550"/>
    <n v="0.1"/>
    <n v="180"/>
    <s v="Home Office"/>
    <n v="495"/>
    <n v="315"/>
    <n v="1500330"/>
    <n v="1163460"/>
  </r>
  <r>
    <s v="SO0447"/>
    <x v="257"/>
    <s v="C0091"/>
    <s v="Customer 042"/>
    <s v="Delhi"/>
    <x v="0"/>
    <x v="2"/>
    <s v="Laptop"/>
    <n v="3"/>
    <n v="52000"/>
    <n v="0"/>
    <n v="9000"/>
    <s v="Home Office"/>
    <n v="156000"/>
    <n v="129000"/>
    <n v="1499835"/>
    <n v="1163145"/>
  </r>
  <r>
    <s v="SO0448"/>
    <x v="163"/>
    <s v="C0079"/>
    <s v="Customer 054"/>
    <s v="Delhi"/>
    <x v="0"/>
    <x v="0"/>
    <s v="Mixer Grinder"/>
    <n v="4"/>
    <n v="2800"/>
    <n v="0"/>
    <n v="750"/>
    <s v="Corporate"/>
    <n v="11200"/>
    <n v="8200"/>
    <n v="1343835"/>
    <n v="1034145"/>
  </r>
  <r>
    <s v="SO0449"/>
    <x v="258"/>
    <s v="C0030"/>
    <s v="Customer 065"/>
    <s v="Hyderabad"/>
    <x v="2"/>
    <x v="1"/>
    <s v="Sofa"/>
    <n v="3"/>
    <n v="22000"/>
    <n v="0.15"/>
    <n v="5000"/>
    <s v="Consumer"/>
    <n v="56100"/>
    <n v="41100"/>
    <n v="1332635"/>
    <n v="1025945"/>
  </r>
  <r>
    <s v="SO0450"/>
    <x v="70"/>
    <s v="C0031"/>
    <s v="Customer 158"/>
    <s v="Jaipur"/>
    <x v="1"/>
    <x v="2"/>
    <s v="Laptop"/>
    <n v="3"/>
    <n v="52000"/>
    <n v="0.1"/>
    <n v="9000"/>
    <s v="Corporate"/>
    <n v="140400"/>
    <n v="113400"/>
    <n v="1276535"/>
    <n v="984845"/>
  </r>
  <r>
    <s v="SO0451"/>
    <x v="49"/>
    <s v="C0006"/>
    <s v="Customer 179"/>
    <s v="Kolkata"/>
    <x v="2"/>
    <x v="3"/>
    <s v="T-Shirt"/>
    <n v="5"/>
    <n v="550"/>
    <n v="0"/>
    <n v="180"/>
    <s v="Home Office"/>
    <n v="2750"/>
    <n v="1850"/>
    <n v="1136135"/>
    <n v="871445"/>
  </r>
  <r>
    <s v="SO0452"/>
    <x v="96"/>
    <s v="C0155"/>
    <s v="Customer 096"/>
    <s v="Kolkata"/>
    <x v="0"/>
    <x v="2"/>
    <s v="Laptop"/>
    <n v="2"/>
    <n v="52000"/>
    <n v="0.05"/>
    <n v="9000"/>
    <s v="Corporate"/>
    <n v="98800"/>
    <n v="80800"/>
    <n v="1133385"/>
    <n v="869595"/>
  </r>
  <r>
    <s v="SO0453"/>
    <x v="10"/>
    <s v="C0164"/>
    <s v="Customer 168"/>
    <s v="Delhi"/>
    <x v="2"/>
    <x v="3"/>
    <s v="Handbag"/>
    <n v="4"/>
    <n v="1900"/>
    <n v="0.05"/>
    <n v="600"/>
    <s v="Corporate"/>
    <n v="7220"/>
    <n v="4820"/>
    <n v="1034585"/>
    <n v="788795"/>
  </r>
  <r>
    <s v="SO0454"/>
    <x v="259"/>
    <s v="C0056"/>
    <s v="Customer 146"/>
    <s v="Hyderabad"/>
    <x v="3"/>
    <x v="1"/>
    <s v="Office Chair"/>
    <n v="3"/>
    <n v="6500"/>
    <n v="0.05"/>
    <n v="1600"/>
    <s v="Consumer"/>
    <n v="18525"/>
    <n v="13725"/>
    <n v="1027365"/>
    <n v="783975"/>
  </r>
  <r>
    <s v="SO0455"/>
    <x v="210"/>
    <s v="C0123"/>
    <s v="Customer 118"/>
    <s v="Jaipur"/>
    <x v="1"/>
    <x v="0"/>
    <s v="Table Lamp"/>
    <n v="5"/>
    <n v="850"/>
    <n v="0"/>
    <n v="250"/>
    <s v="Corporate"/>
    <n v="4250"/>
    <n v="3000"/>
    <n v="1008840"/>
    <n v="770250"/>
  </r>
  <r>
    <s v="SO0456"/>
    <x v="87"/>
    <s v="C0174"/>
    <s v="Customer 014"/>
    <s v="Chennai"/>
    <x v="1"/>
    <x v="1"/>
    <s v="Dining Table"/>
    <n v="3"/>
    <n v="15000"/>
    <n v="0.05"/>
    <n v="3500"/>
    <s v="Corporate"/>
    <n v="42750"/>
    <n v="32250"/>
    <n v="1004590"/>
    <n v="767250"/>
  </r>
  <r>
    <s v="SO0457"/>
    <x v="260"/>
    <s v="C0066"/>
    <s v="Customer 061"/>
    <s v="Mumbai"/>
    <x v="0"/>
    <x v="3"/>
    <s v="Jacket"/>
    <n v="2"/>
    <n v="3200"/>
    <n v="0.1"/>
    <n v="950"/>
    <s v="Home Office"/>
    <n v="5760"/>
    <n v="3860"/>
    <n v="961840"/>
    <n v="735000"/>
  </r>
  <r>
    <s v="SO0458"/>
    <x v="51"/>
    <s v="C0094"/>
    <s v="Customer 031"/>
    <s v="Hyderabad"/>
    <x v="0"/>
    <x v="2"/>
    <s v="Wireless Mouse"/>
    <n v="3"/>
    <n v="650"/>
    <n v="0.1"/>
    <n v="200"/>
    <s v="Consumer"/>
    <n v="1755"/>
    <n v="1155"/>
    <n v="956080"/>
    <n v="731140"/>
  </r>
  <r>
    <s v="SO0459"/>
    <x v="25"/>
    <s v="C0173"/>
    <s v="Customer 174"/>
    <s v="Mumbai"/>
    <x v="2"/>
    <x v="1"/>
    <s v="Bookshelf"/>
    <n v="4"/>
    <n v="4200"/>
    <n v="0"/>
    <n v="1000"/>
    <s v="Corporate"/>
    <n v="16800"/>
    <n v="12800"/>
    <n v="954325"/>
    <n v="729985"/>
  </r>
  <r>
    <s v="SO0460"/>
    <x v="237"/>
    <s v="C0090"/>
    <s v="Customer 079"/>
    <s v="Pune"/>
    <x v="0"/>
    <x v="2"/>
    <s v="Wireless Mouse"/>
    <n v="3"/>
    <n v="650"/>
    <n v="0.15"/>
    <n v="200"/>
    <s v="Home Office"/>
    <n v="1657.5"/>
    <n v="1057.5"/>
    <n v="937525"/>
    <n v="717185"/>
  </r>
  <r>
    <s v="SO0461"/>
    <x v="227"/>
    <s v="C0049"/>
    <s v="Customer 098"/>
    <s v="Pune"/>
    <x v="1"/>
    <x v="0"/>
    <s v="Mixer Grinder"/>
    <n v="1"/>
    <n v="2800"/>
    <n v="0.1"/>
    <n v="750"/>
    <s v="Corporate"/>
    <n v="2520"/>
    <n v="1770"/>
    <n v="935867.5"/>
    <n v="716127.5"/>
  </r>
  <r>
    <s v="SO0462"/>
    <x v="211"/>
    <s v="C0057"/>
    <s v="Customer 029"/>
    <s v="Hyderabad"/>
    <x v="0"/>
    <x v="3"/>
    <s v="Jeans"/>
    <n v="4"/>
    <n v="1400"/>
    <n v="0.1"/>
    <n v="450"/>
    <s v="Consumer"/>
    <n v="5040"/>
    <n v="3240"/>
    <n v="933347.5"/>
    <n v="714357.5"/>
  </r>
  <r>
    <s v="SO0463"/>
    <x v="101"/>
    <s v="C0048"/>
    <s v="Customer 031"/>
    <s v="Jaipur"/>
    <x v="3"/>
    <x v="1"/>
    <s v="Bookshelf"/>
    <n v="4"/>
    <n v="4200"/>
    <n v="0"/>
    <n v="1000"/>
    <s v="Home Office"/>
    <n v="16800"/>
    <n v="12800"/>
    <n v="928307.5"/>
    <n v="711117.5"/>
  </r>
  <r>
    <s v="SO0464"/>
    <x v="261"/>
    <s v="C0177"/>
    <s v="Customer 161"/>
    <s v="Chennai"/>
    <x v="3"/>
    <x v="0"/>
    <s v="Cookware Set"/>
    <n v="5"/>
    <n v="2400"/>
    <n v="0.05"/>
    <n v="650"/>
    <s v="Consumer"/>
    <n v="11400"/>
    <n v="8150"/>
    <n v="911507.5"/>
    <n v="698317.5"/>
  </r>
  <r>
    <s v="SO0465"/>
    <x v="37"/>
    <s v="C0078"/>
    <s v="Customer 045"/>
    <s v="Mumbai"/>
    <x v="2"/>
    <x v="0"/>
    <s v="Table Lamp"/>
    <n v="5"/>
    <n v="850"/>
    <n v="0"/>
    <n v="250"/>
    <s v="Home Office"/>
    <n v="4250"/>
    <n v="3000"/>
    <n v="900107.5"/>
    <n v="690167.5"/>
  </r>
  <r>
    <s v="SO0466"/>
    <x v="204"/>
    <s v="C0158"/>
    <s v="Customer 047"/>
    <s v="Pune"/>
    <x v="3"/>
    <x v="0"/>
    <s v="Table Lamp"/>
    <n v="2"/>
    <n v="850"/>
    <n v="0"/>
    <n v="250"/>
    <s v="Corporate"/>
    <n v="1700"/>
    <n v="1200"/>
    <n v="895857.5"/>
    <n v="687167.5"/>
  </r>
  <r>
    <s v="SO0467"/>
    <x v="262"/>
    <s v="C0175"/>
    <s v="Customer 056"/>
    <s v="Jaipur"/>
    <x v="3"/>
    <x v="1"/>
    <s v="Dining Table"/>
    <n v="5"/>
    <n v="15000"/>
    <n v="0"/>
    <n v="3500"/>
    <s v="Consumer"/>
    <n v="75000"/>
    <n v="57500"/>
    <n v="894157.5"/>
    <n v="685967.5"/>
  </r>
  <r>
    <s v="SO0468"/>
    <x v="101"/>
    <s v="C0078"/>
    <s v="Customer 115"/>
    <s v="Mumbai"/>
    <x v="3"/>
    <x v="1"/>
    <s v="Sofa"/>
    <n v="5"/>
    <n v="22000"/>
    <n v="0"/>
    <n v="5000"/>
    <s v="Corporate"/>
    <n v="110000"/>
    <n v="85000"/>
    <n v="819157.5"/>
    <n v="628467.5"/>
  </r>
  <r>
    <s v="SO0469"/>
    <x v="203"/>
    <s v="C0087"/>
    <s v="Customer 072"/>
    <s v="Jaipur"/>
    <x v="2"/>
    <x v="0"/>
    <s v="Cookware Set"/>
    <n v="4"/>
    <n v="2400"/>
    <n v="0.05"/>
    <n v="650"/>
    <s v="Consumer"/>
    <n v="9120"/>
    <n v="6520"/>
    <n v="709157.5"/>
    <n v="543467.5"/>
  </r>
  <r>
    <s v="SO0470"/>
    <x v="263"/>
    <s v="C0124"/>
    <s v="Customer 156"/>
    <s v="Hyderabad"/>
    <x v="3"/>
    <x v="0"/>
    <s v="Cookware Set"/>
    <n v="2"/>
    <n v="2400"/>
    <n v="0.1"/>
    <n v="650"/>
    <s v="Corporate"/>
    <n v="4320"/>
    <n v="3020"/>
    <n v="700037.5"/>
    <n v="536947.5"/>
  </r>
  <r>
    <s v="SO0471"/>
    <x v="92"/>
    <s v="C0171"/>
    <s v="Customer 015"/>
    <s v="Kolkata"/>
    <x v="1"/>
    <x v="0"/>
    <s v="Table Lamp"/>
    <n v="1"/>
    <n v="850"/>
    <n v="0"/>
    <n v="250"/>
    <s v="Corporate"/>
    <n v="850"/>
    <n v="600"/>
    <n v="695717.5"/>
    <n v="533927.5"/>
  </r>
  <r>
    <s v="SO0472"/>
    <x v="54"/>
    <s v="C0139"/>
    <s v="Customer 153"/>
    <s v="Delhi"/>
    <x v="2"/>
    <x v="3"/>
    <s v="Sneakers"/>
    <n v="4"/>
    <n v="2600"/>
    <n v="0.1"/>
    <n v="800"/>
    <s v="Consumer"/>
    <n v="9360"/>
    <n v="6160"/>
    <n v="694867.5"/>
    <n v="533327.5"/>
  </r>
  <r>
    <s v="SO0473"/>
    <x v="84"/>
    <s v="C0097"/>
    <s v="Customer 170"/>
    <s v="Bengaluru"/>
    <x v="1"/>
    <x v="1"/>
    <s v="Office Chair"/>
    <n v="3"/>
    <n v="6500"/>
    <n v="0.05"/>
    <n v="1600"/>
    <s v="Consumer"/>
    <n v="18525"/>
    <n v="13725"/>
    <n v="685507.5"/>
    <n v="527167.5"/>
  </r>
  <r>
    <s v="SO0474"/>
    <x v="264"/>
    <s v="C0177"/>
    <s v="Customer 178"/>
    <s v="Mumbai"/>
    <x v="2"/>
    <x v="0"/>
    <s v="Cookware Set"/>
    <n v="2"/>
    <n v="2400"/>
    <n v="0"/>
    <n v="650"/>
    <s v="Consumer"/>
    <n v="4800"/>
    <n v="3500"/>
    <n v="666982.5"/>
    <n v="513442.5"/>
  </r>
  <r>
    <s v="SO0475"/>
    <x v="265"/>
    <s v="C0053"/>
    <s v="Customer 040"/>
    <s v="Jaipur"/>
    <x v="0"/>
    <x v="3"/>
    <s v="Sneakers"/>
    <n v="3"/>
    <n v="2600"/>
    <n v="0"/>
    <n v="800"/>
    <s v="Consumer"/>
    <n v="7800"/>
    <n v="5400"/>
    <n v="662182.5"/>
    <n v="509942.5"/>
  </r>
  <r>
    <s v="SO0476"/>
    <x v="89"/>
    <s v="C0172"/>
    <s v="Customer 113"/>
    <s v="Hyderabad"/>
    <x v="1"/>
    <x v="3"/>
    <s v="T-Shirt"/>
    <n v="3"/>
    <n v="550"/>
    <n v="0"/>
    <n v="180"/>
    <s v="Corporate"/>
    <n v="1650"/>
    <n v="1110"/>
    <n v="654382.5"/>
    <n v="504542.5"/>
  </r>
  <r>
    <s v="SO0477"/>
    <x v="187"/>
    <s v="C0095"/>
    <s v="Customer 154"/>
    <s v="Pune"/>
    <x v="1"/>
    <x v="0"/>
    <s v="Mixer Grinder"/>
    <n v="3"/>
    <n v="2800"/>
    <n v="0.15"/>
    <n v="750"/>
    <s v="Corporate"/>
    <n v="7140"/>
    <n v="4890"/>
    <n v="652732.5"/>
    <n v="503432.5"/>
  </r>
  <r>
    <s v="SO0478"/>
    <x v="266"/>
    <s v="C0062"/>
    <s v="Customer 153"/>
    <s v="Pune"/>
    <x v="3"/>
    <x v="2"/>
    <s v="Headphones"/>
    <n v="5"/>
    <n v="1800"/>
    <n v="0"/>
    <n v="650"/>
    <s v="Corporate"/>
    <n v="9000"/>
    <n v="5750"/>
    <n v="645592.5"/>
    <n v="498542.5"/>
  </r>
  <r>
    <s v="SO0479"/>
    <x v="101"/>
    <s v="C0067"/>
    <s v="Customer 083"/>
    <s v="Delhi"/>
    <x v="2"/>
    <x v="1"/>
    <s v="Dining Table"/>
    <n v="4"/>
    <n v="15000"/>
    <n v="0.1"/>
    <n v="3500"/>
    <s v="Consumer"/>
    <n v="54000"/>
    <n v="40000"/>
    <n v="636592.5"/>
    <n v="492792.5"/>
  </r>
  <r>
    <s v="SO0480"/>
    <x v="129"/>
    <s v="C0134"/>
    <s v="Customer 073"/>
    <s v="Mumbai"/>
    <x v="1"/>
    <x v="0"/>
    <s v="Mixer Grinder"/>
    <n v="2"/>
    <n v="2800"/>
    <n v="0.05"/>
    <n v="750"/>
    <s v="Consumer"/>
    <n v="5320"/>
    <n v="3820"/>
    <n v="582592.5"/>
    <n v="452792.5"/>
  </r>
  <r>
    <s v="SO0481"/>
    <x v="267"/>
    <s v="C0169"/>
    <s v="Customer 042"/>
    <s v="Pune"/>
    <x v="3"/>
    <x v="1"/>
    <s v="Office Chair"/>
    <n v="3"/>
    <n v="6500"/>
    <n v="0"/>
    <n v="1600"/>
    <s v="Home Office"/>
    <n v="19500"/>
    <n v="14700"/>
    <n v="577272.5"/>
    <n v="448972.5"/>
  </r>
  <r>
    <s v="SO0482"/>
    <x v="9"/>
    <s v="C0126"/>
    <s v="Customer 003"/>
    <s v="Hyderabad"/>
    <x v="2"/>
    <x v="1"/>
    <s v="Sofa"/>
    <n v="5"/>
    <n v="22000"/>
    <n v="0.1"/>
    <n v="5000"/>
    <s v="Home Office"/>
    <n v="99000"/>
    <n v="74000"/>
    <n v="557772.5"/>
    <n v="434272.5"/>
  </r>
  <r>
    <s v="SO0483"/>
    <x v="146"/>
    <s v="C0017"/>
    <s v="Customer 016"/>
    <s v="Hyderabad"/>
    <x v="3"/>
    <x v="0"/>
    <s v="Cookware Set"/>
    <n v="4"/>
    <n v="2400"/>
    <n v="0.05"/>
    <n v="650"/>
    <s v="Corporate"/>
    <n v="9120"/>
    <n v="6520"/>
    <n v="458772.5"/>
    <n v="360272.5"/>
  </r>
  <r>
    <s v="SO0484"/>
    <x v="268"/>
    <s v="C0172"/>
    <s v="Customer 075"/>
    <s v="Kolkata"/>
    <x v="2"/>
    <x v="0"/>
    <s v="Water Bottle"/>
    <n v="4"/>
    <n v="350"/>
    <n v="0"/>
    <n v="100"/>
    <s v="Home Office"/>
    <n v="1400"/>
    <n v="1000"/>
    <n v="449652.5"/>
    <n v="353752.5"/>
  </r>
  <r>
    <s v="SO0485"/>
    <x v="67"/>
    <s v="C0116"/>
    <s v="Customer 075"/>
    <s v="Chennai"/>
    <x v="3"/>
    <x v="2"/>
    <s v="Laptop"/>
    <n v="3"/>
    <n v="52000"/>
    <n v="0"/>
    <n v="9000"/>
    <s v="Corporate"/>
    <n v="156000"/>
    <n v="129000"/>
    <n v="448252.5"/>
    <n v="352752.5"/>
  </r>
  <r>
    <s v="SO0486"/>
    <x v="269"/>
    <s v="C0168"/>
    <s v="Customer 007"/>
    <s v="Pune"/>
    <x v="2"/>
    <x v="0"/>
    <s v="Cookware Set"/>
    <n v="4"/>
    <n v="2400"/>
    <n v="0.05"/>
    <n v="650"/>
    <s v="Consumer"/>
    <n v="9120"/>
    <n v="6520"/>
    <n v="292252.5"/>
    <n v="223752.5"/>
  </r>
  <r>
    <s v="SO0487"/>
    <x v="270"/>
    <s v="C0038"/>
    <s v="Customer 020"/>
    <s v="Bengaluru"/>
    <x v="2"/>
    <x v="1"/>
    <s v="Office Chair"/>
    <n v="3"/>
    <n v="6500"/>
    <n v="0.05"/>
    <n v="1600"/>
    <s v="Home Office"/>
    <n v="18525"/>
    <n v="13725"/>
    <n v="283132.5"/>
    <n v="217232.5"/>
  </r>
  <r>
    <s v="SO0488"/>
    <x v="271"/>
    <s v="C0148"/>
    <s v="Customer 023"/>
    <s v="Kolkata"/>
    <x v="1"/>
    <x v="0"/>
    <s v="Cookware Set"/>
    <n v="4"/>
    <n v="2400"/>
    <n v="0.15"/>
    <n v="650"/>
    <s v="Home Office"/>
    <n v="8160"/>
    <n v="5560"/>
    <n v="264607.5"/>
    <n v="203507.5"/>
  </r>
  <r>
    <s v="SO0489"/>
    <x v="217"/>
    <s v="C0152"/>
    <s v="Customer 134"/>
    <s v="Bengaluru"/>
    <x v="0"/>
    <x v="2"/>
    <s v="Wireless Mouse"/>
    <n v="3"/>
    <n v="650"/>
    <n v="0.1"/>
    <n v="200"/>
    <s v="Corporate"/>
    <n v="1755"/>
    <n v="1155"/>
    <n v="256447.5"/>
    <n v="197947.5"/>
  </r>
  <r>
    <s v="SO0490"/>
    <x v="208"/>
    <s v="C0040"/>
    <s v="Customer 137"/>
    <s v="Mumbai"/>
    <x v="0"/>
    <x v="3"/>
    <s v="Jeans"/>
    <n v="2"/>
    <n v="1400"/>
    <n v="0.05"/>
    <n v="450"/>
    <s v="Consumer"/>
    <n v="2660"/>
    <n v="1760"/>
    <n v="254692.5"/>
    <n v="196792.5"/>
  </r>
  <r>
    <s v="SO0491"/>
    <x v="39"/>
    <s v="C0128"/>
    <s v="Customer 045"/>
    <s v="Mumbai"/>
    <x v="2"/>
    <x v="0"/>
    <s v="Mixer Grinder"/>
    <n v="3"/>
    <n v="2800"/>
    <n v="0"/>
    <n v="750"/>
    <s v="Home Office"/>
    <n v="8400"/>
    <n v="6150"/>
    <n v="252032.5"/>
    <n v="195032.5"/>
  </r>
  <r>
    <s v="SO0492"/>
    <x v="111"/>
    <s v="C0115"/>
    <s v="Customer 024"/>
    <s v="Bengaluru"/>
    <x v="3"/>
    <x v="1"/>
    <s v="Bookshelf"/>
    <n v="2"/>
    <n v="4200"/>
    <n v="0"/>
    <n v="1000"/>
    <s v="Home Office"/>
    <n v="8400"/>
    <n v="6400"/>
    <n v="243632.5"/>
    <n v="188882.5"/>
  </r>
  <r>
    <s v="SO0493"/>
    <x v="82"/>
    <s v="C0139"/>
    <s v="Customer 088"/>
    <s v="Mumbai"/>
    <x v="0"/>
    <x v="1"/>
    <s v="Sofa"/>
    <n v="1"/>
    <n v="22000"/>
    <n v="0"/>
    <n v="5000"/>
    <s v="Corporate"/>
    <n v="22000"/>
    <n v="17000"/>
    <n v="235232.5"/>
    <n v="182482.5"/>
  </r>
  <r>
    <s v="SO0494"/>
    <x v="224"/>
    <s v="C0135"/>
    <s v="Customer 146"/>
    <s v="Delhi"/>
    <x v="2"/>
    <x v="0"/>
    <s v="Water Bottle"/>
    <n v="3"/>
    <n v="350"/>
    <n v="0.15"/>
    <n v="100"/>
    <s v="Corporate"/>
    <n v="892.5"/>
    <n v="592.5"/>
    <n v="213232.5"/>
    <n v="165482.5"/>
  </r>
  <r>
    <s v="SO0495"/>
    <x v="272"/>
    <s v="C0159"/>
    <s v="Customer 092"/>
    <s v="Jaipur"/>
    <x v="2"/>
    <x v="0"/>
    <s v="Cookware Set"/>
    <n v="1"/>
    <n v="2400"/>
    <n v="0.15"/>
    <n v="650"/>
    <s v="Consumer"/>
    <n v="2040"/>
    <n v="1390"/>
    <n v="212340"/>
    <n v="164890"/>
  </r>
  <r>
    <s v="SO0496"/>
    <x v="273"/>
    <s v="C0175"/>
    <s v="Customer 029"/>
    <s v="Pune"/>
    <x v="3"/>
    <x v="1"/>
    <s v="Office Chair"/>
    <n v="3"/>
    <n v="6500"/>
    <n v="0"/>
    <n v="1600"/>
    <s v="Home Office"/>
    <n v="19500"/>
    <n v="14700"/>
    <n v="210300"/>
    <n v="163500"/>
  </r>
  <r>
    <s v="SO0497"/>
    <x v="73"/>
    <s v="C0009"/>
    <s v="Customer 055"/>
    <s v="Pune"/>
    <x v="2"/>
    <x v="1"/>
    <s v="Office Chair"/>
    <n v="5"/>
    <n v="6500"/>
    <n v="0"/>
    <n v="1600"/>
    <s v="Corporate"/>
    <n v="32500"/>
    <n v="24500"/>
    <n v="190800"/>
    <n v="148800"/>
  </r>
  <r>
    <s v="SO0498"/>
    <x v="274"/>
    <s v="C0090"/>
    <s v="Customer 122"/>
    <s v="Jaipur"/>
    <x v="3"/>
    <x v="1"/>
    <s v="Sofa"/>
    <n v="1"/>
    <n v="22000"/>
    <n v="0.05"/>
    <n v="5000"/>
    <s v="Home Office"/>
    <n v="20900"/>
    <n v="15900"/>
    <n v="158300"/>
    <n v="124300"/>
  </r>
  <r>
    <s v="SO0499"/>
    <x v="19"/>
    <s v="C0061"/>
    <s v="Customer 023"/>
    <s v="Jaipur"/>
    <x v="2"/>
    <x v="1"/>
    <s v="Sofa"/>
    <n v="4"/>
    <n v="22000"/>
    <n v="0"/>
    <n v="5000"/>
    <s v="Home Office"/>
    <n v="88000"/>
    <n v="68000"/>
    <n v="137400"/>
    <n v="108400"/>
  </r>
  <r>
    <s v="SO0500"/>
    <x v="51"/>
    <s v="C0098"/>
    <s v="Customer 163"/>
    <s v="Chennai"/>
    <x v="2"/>
    <x v="2"/>
    <s v="Laptop"/>
    <n v="1"/>
    <n v="52000"/>
    <n v="0.05"/>
    <n v="9000"/>
    <s v="Corporate"/>
    <n v="49400"/>
    <n v="40400"/>
    <n v="49400"/>
    <n v="40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2D445E-4A43-4023-B619-645F724467A4}" name="PivotTable1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17" firstHeaderRow="1" firstDataRow="1" firstDataCol="1"/>
  <pivotFields count="19">
    <pivotField showAll="0"/>
    <pivotField numFmtId="14" showAll="0">
      <items count="276">
        <item x="190"/>
        <item x="118"/>
        <item x="29"/>
        <item x="73"/>
        <item x="131"/>
        <item x="71"/>
        <item x="121"/>
        <item x="265"/>
        <item x="128"/>
        <item x="200"/>
        <item x="53"/>
        <item x="267"/>
        <item x="94"/>
        <item x="41"/>
        <item x="139"/>
        <item x="181"/>
        <item x="254"/>
        <item x="156"/>
        <item x="182"/>
        <item x="13"/>
        <item x="103"/>
        <item x="96"/>
        <item x="261"/>
        <item x="27"/>
        <item x="159"/>
        <item x="203"/>
        <item x="198"/>
        <item x="95"/>
        <item x="3"/>
        <item x="202"/>
        <item x="12"/>
        <item x="40"/>
        <item x="45"/>
        <item x="111"/>
        <item x="46"/>
        <item x="157"/>
        <item x="117"/>
        <item x="231"/>
        <item x="109"/>
        <item x="230"/>
        <item x="179"/>
        <item x="197"/>
        <item x="48"/>
        <item x="20"/>
        <item x="191"/>
        <item x="194"/>
        <item x="24"/>
        <item x="107"/>
        <item x="90"/>
        <item x="39"/>
        <item x="92"/>
        <item x="114"/>
        <item x="270"/>
        <item x="129"/>
        <item x="132"/>
        <item x="257"/>
        <item x="31"/>
        <item x="10"/>
        <item x="130"/>
        <item x="150"/>
        <item x="204"/>
        <item x="93"/>
        <item x="11"/>
        <item x="141"/>
        <item x="253"/>
        <item x="81"/>
        <item x="208"/>
        <item x="189"/>
        <item x="0"/>
        <item x="154"/>
        <item x="78"/>
        <item x="166"/>
        <item x="158"/>
        <item x="260"/>
        <item x="155"/>
        <item x="151"/>
        <item x="91"/>
        <item x="105"/>
        <item x="126"/>
        <item x="49"/>
        <item x="25"/>
        <item x="247"/>
        <item x="84"/>
        <item x="44"/>
        <item x="123"/>
        <item x="241"/>
        <item x="162"/>
        <item x="192"/>
        <item x="115"/>
        <item x="161"/>
        <item x="125"/>
        <item x="32"/>
        <item x="85"/>
        <item x="30"/>
        <item x="120"/>
        <item x="69"/>
        <item x="245"/>
        <item x="215"/>
        <item x="196"/>
        <item x="79"/>
        <item x="217"/>
        <item x="266"/>
        <item x="136"/>
        <item x="8"/>
        <item x="229"/>
        <item x="218"/>
        <item x="248"/>
        <item x="60"/>
        <item x="185"/>
        <item x="152"/>
        <item x="195"/>
        <item x="144"/>
        <item x="142"/>
        <item x="177"/>
        <item x="221"/>
        <item x="99"/>
        <item x="16"/>
        <item x="106"/>
        <item x="176"/>
        <item x="61"/>
        <item x="258"/>
        <item x="225"/>
        <item x="23"/>
        <item x="63"/>
        <item x="273"/>
        <item x="7"/>
        <item x="183"/>
        <item x="232"/>
        <item x="251"/>
        <item x="272"/>
        <item x="42"/>
        <item x="239"/>
        <item x="58"/>
        <item x="249"/>
        <item x="52"/>
        <item x="160"/>
        <item x="35"/>
        <item x="133"/>
        <item x="233"/>
        <item x="87"/>
        <item x="75"/>
        <item x="209"/>
        <item x="54"/>
        <item x="37"/>
        <item x="100"/>
        <item x="74"/>
        <item x="67"/>
        <item x="237"/>
        <item x="149"/>
        <item x="224"/>
        <item x="210"/>
        <item x="21"/>
        <item x="242"/>
        <item x="170"/>
        <item x="80"/>
        <item x="77"/>
        <item x="59"/>
        <item x="180"/>
        <item x="113"/>
        <item x="34"/>
        <item x="274"/>
        <item x="51"/>
        <item x="171"/>
        <item x="104"/>
        <item x="147"/>
        <item x="268"/>
        <item x="28"/>
        <item x="244"/>
        <item x="238"/>
        <item x="66"/>
        <item x="211"/>
        <item x="227"/>
        <item x="214"/>
        <item x="14"/>
        <item x="184"/>
        <item x="19"/>
        <item x="56"/>
        <item x="38"/>
        <item x="64"/>
        <item x="186"/>
        <item x="187"/>
        <item x="68"/>
        <item x="163"/>
        <item x="240"/>
        <item x="119"/>
        <item x="43"/>
        <item x="178"/>
        <item x="219"/>
        <item x="1"/>
        <item x="236"/>
        <item x="18"/>
        <item x="137"/>
        <item x="175"/>
        <item x="57"/>
        <item x="17"/>
        <item x="26"/>
        <item x="98"/>
        <item x="223"/>
        <item x="82"/>
        <item x="220"/>
        <item x="255"/>
        <item x="143"/>
        <item x="206"/>
        <item x="22"/>
        <item x="97"/>
        <item x="250"/>
        <item x="138"/>
        <item x="122"/>
        <item x="213"/>
        <item x="6"/>
        <item x="5"/>
        <item x="271"/>
        <item x="124"/>
        <item x="173"/>
        <item x="15"/>
        <item x="188"/>
        <item x="4"/>
        <item x="135"/>
        <item x="256"/>
        <item x="89"/>
        <item x="263"/>
        <item x="168"/>
        <item x="36"/>
        <item x="110"/>
        <item x="172"/>
        <item x="226"/>
        <item x="127"/>
        <item x="140"/>
        <item x="62"/>
        <item x="252"/>
        <item x="70"/>
        <item x="55"/>
        <item x="112"/>
        <item x="148"/>
        <item x="72"/>
        <item x="207"/>
        <item x="50"/>
        <item x="9"/>
        <item x="167"/>
        <item x="264"/>
        <item x="83"/>
        <item x="216"/>
        <item x="228"/>
        <item x="165"/>
        <item x="212"/>
        <item x="153"/>
        <item x="205"/>
        <item x="65"/>
        <item x="146"/>
        <item x="33"/>
        <item x="269"/>
        <item x="262"/>
        <item x="134"/>
        <item x="222"/>
        <item x="101"/>
        <item x="86"/>
        <item x="246"/>
        <item x="235"/>
        <item x="199"/>
        <item x="47"/>
        <item x="102"/>
        <item x="88"/>
        <item x="174"/>
        <item x="243"/>
        <item x="234"/>
        <item x="193"/>
        <item x="164"/>
        <item x="259"/>
        <item x="108"/>
        <item x="76"/>
        <item x="116"/>
        <item x="2"/>
        <item x="169"/>
        <item x="201"/>
        <item x="1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8"/>
    <field x="17"/>
  </rowFields>
  <rowItems count="1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8CC19A-CF3F-4A51-8E32-C2D512679AAD}" name="PivotTable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E3:F8" firstHeaderRow="1" firstDataRow="1" firstDataCol="1"/>
  <pivotFields count="19">
    <pivotField showAll="0"/>
    <pivotField numFmtId="14" showAll="0">
      <items count="276">
        <item x="190"/>
        <item x="118"/>
        <item x="29"/>
        <item x="73"/>
        <item x="131"/>
        <item x="71"/>
        <item x="121"/>
        <item x="265"/>
        <item x="128"/>
        <item x="200"/>
        <item x="53"/>
        <item x="267"/>
        <item x="94"/>
        <item x="41"/>
        <item x="139"/>
        <item x="181"/>
        <item x="254"/>
        <item x="156"/>
        <item x="182"/>
        <item x="13"/>
        <item x="103"/>
        <item x="96"/>
        <item x="261"/>
        <item x="27"/>
        <item x="159"/>
        <item x="203"/>
        <item x="198"/>
        <item x="95"/>
        <item x="3"/>
        <item x="202"/>
        <item x="12"/>
        <item x="40"/>
        <item x="45"/>
        <item x="111"/>
        <item x="46"/>
        <item x="157"/>
        <item x="117"/>
        <item x="231"/>
        <item x="109"/>
        <item x="230"/>
        <item x="179"/>
        <item x="197"/>
        <item x="48"/>
        <item x="20"/>
        <item x="191"/>
        <item x="194"/>
        <item x="24"/>
        <item x="107"/>
        <item x="90"/>
        <item x="39"/>
        <item x="92"/>
        <item x="114"/>
        <item x="270"/>
        <item x="129"/>
        <item x="132"/>
        <item x="257"/>
        <item x="31"/>
        <item x="10"/>
        <item x="130"/>
        <item x="150"/>
        <item x="204"/>
        <item x="93"/>
        <item x="11"/>
        <item x="141"/>
        <item x="253"/>
        <item x="81"/>
        <item x="208"/>
        <item x="189"/>
        <item x="0"/>
        <item x="154"/>
        <item x="78"/>
        <item x="166"/>
        <item x="158"/>
        <item x="260"/>
        <item x="155"/>
        <item x="151"/>
        <item x="91"/>
        <item x="105"/>
        <item x="126"/>
        <item x="49"/>
        <item x="25"/>
        <item x="247"/>
        <item x="84"/>
        <item x="44"/>
        <item x="123"/>
        <item x="241"/>
        <item x="162"/>
        <item x="192"/>
        <item x="115"/>
        <item x="161"/>
        <item x="125"/>
        <item x="32"/>
        <item x="85"/>
        <item x="30"/>
        <item x="120"/>
        <item x="69"/>
        <item x="245"/>
        <item x="215"/>
        <item x="196"/>
        <item x="79"/>
        <item x="217"/>
        <item x="266"/>
        <item x="136"/>
        <item x="8"/>
        <item x="229"/>
        <item x="218"/>
        <item x="248"/>
        <item x="60"/>
        <item x="185"/>
        <item x="152"/>
        <item x="195"/>
        <item x="144"/>
        <item x="142"/>
        <item x="177"/>
        <item x="221"/>
        <item x="99"/>
        <item x="16"/>
        <item x="106"/>
        <item x="176"/>
        <item x="61"/>
        <item x="258"/>
        <item x="225"/>
        <item x="23"/>
        <item x="63"/>
        <item x="273"/>
        <item x="7"/>
        <item x="183"/>
        <item x="232"/>
        <item x="251"/>
        <item x="272"/>
        <item x="42"/>
        <item x="239"/>
        <item x="58"/>
        <item x="249"/>
        <item x="52"/>
        <item x="160"/>
        <item x="35"/>
        <item x="133"/>
        <item x="233"/>
        <item x="87"/>
        <item x="75"/>
        <item x="209"/>
        <item x="54"/>
        <item x="37"/>
        <item x="100"/>
        <item x="74"/>
        <item x="67"/>
        <item x="237"/>
        <item x="149"/>
        <item x="224"/>
        <item x="210"/>
        <item x="21"/>
        <item x="242"/>
        <item x="170"/>
        <item x="80"/>
        <item x="77"/>
        <item x="59"/>
        <item x="180"/>
        <item x="113"/>
        <item x="34"/>
        <item x="274"/>
        <item x="51"/>
        <item x="171"/>
        <item x="104"/>
        <item x="147"/>
        <item x="268"/>
        <item x="28"/>
        <item x="244"/>
        <item x="238"/>
        <item x="66"/>
        <item x="211"/>
        <item x="227"/>
        <item x="214"/>
        <item x="14"/>
        <item x="184"/>
        <item x="19"/>
        <item x="56"/>
        <item x="38"/>
        <item x="64"/>
        <item x="186"/>
        <item x="187"/>
        <item x="68"/>
        <item x="163"/>
        <item x="240"/>
        <item x="119"/>
        <item x="43"/>
        <item x="178"/>
        <item x="219"/>
        <item x="1"/>
        <item x="236"/>
        <item x="18"/>
        <item x="137"/>
        <item x="175"/>
        <item x="57"/>
        <item x="17"/>
        <item x="26"/>
        <item x="98"/>
        <item x="223"/>
        <item x="82"/>
        <item x="220"/>
        <item x="255"/>
        <item x="143"/>
        <item x="206"/>
        <item x="22"/>
        <item x="97"/>
        <item x="250"/>
        <item x="138"/>
        <item x="122"/>
        <item x="213"/>
        <item x="6"/>
        <item x="5"/>
        <item x="271"/>
        <item x="124"/>
        <item x="173"/>
        <item x="15"/>
        <item x="188"/>
        <item x="4"/>
        <item x="135"/>
        <item x="256"/>
        <item x="89"/>
        <item x="263"/>
        <item x="168"/>
        <item x="36"/>
        <item x="110"/>
        <item x="172"/>
        <item x="226"/>
        <item x="127"/>
        <item x="140"/>
        <item x="62"/>
        <item x="252"/>
        <item x="70"/>
        <item x="55"/>
        <item x="112"/>
        <item x="148"/>
        <item x="72"/>
        <item x="207"/>
        <item x="50"/>
        <item x="9"/>
        <item x="167"/>
        <item x="264"/>
        <item x="83"/>
        <item x="216"/>
        <item x="228"/>
        <item x="165"/>
        <item x="212"/>
        <item x="153"/>
        <item x="205"/>
        <item x="65"/>
        <item x="146"/>
        <item x="33"/>
        <item x="269"/>
        <item x="262"/>
        <item x="134"/>
        <item x="222"/>
        <item x="101"/>
        <item x="86"/>
        <item x="246"/>
        <item x="235"/>
        <item x="199"/>
        <item x="47"/>
        <item x="102"/>
        <item x="88"/>
        <item x="174"/>
        <item x="243"/>
        <item x="234"/>
        <item x="193"/>
        <item x="164"/>
        <item x="259"/>
        <item x="108"/>
        <item x="76"/>
        <item x="116"/>
        <item x="2"/>
        <item x="169"/>
        <item x="201"/>
        <item x="145"/>
        <item t="default"/>
      </items>
    </pivotField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3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267F9D-A0A4-4A87-9368-6E9579A8294F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19">
    <pivotField showAll="0"/>
    <pivotField numFmtId="14" showAll="0">
      <items count="276">
        <item x="190"/>
        <item x="118"/>
        <item x="29"/>
        <item x="73"/>
        <item x="131"/>
        <item x="71"/>
        <item x="121"/>
        <item x="265"/>
        <item x="128"/>
        <item x="200"/>
        <item x="53"/>
        <item x="267"/>
        <item x="94"/>
        <item x="41"/>
        <item x="139"/>
        <item x="181"/>
        <item x="254"/>
        <item x="156"/>
        <item x="182"/>
        <item x="13"/>
        <item x="103"/>
        <item x="96"/>
        <item x="261"/>
        <item x="27"/>
        <item x="159"/>
        <item x="203"/>
        <item x="198"/>
        <item x="95"/>
        <item x="3"/>
        <item x="202"/>
        <item x="12"/>
        <item x="40"/>
        <item x="45"/>
        <item x="111"/>
        <item x="46"/>
        <item x="157"/>
        <item x="117"/>
        <item x="231"/>
        <item x="109"/>
        <item x="230"/>
        <item x="179"/>
        <item x="197"/>
        <item x="48"/>
        <item x="20"/>
        <item x="191"/>
        <item x="194"/>
        <item x="24"/>
        <item x="107"/>
        <item x="90"/>
        <item x="39"/>
        <item x="92"/>
        <item x="114"/>
        <item x="270"/>
        <item x="129"/>
        <item x="132"/>
        <item x="257"/>
        <item x="31"/>
        <item x="10"/>
        <item x="130"/>
        <item x="150"/>
        <item x="204"/>
        <item x="93"/>
        <item x="11"/>
        <item x="141"/>
        <item x="253"/>
        <item x="81"/>
        <item x="208"/>
        <item x="189"/>
        <item x="0"/>
        <item x="154"/>
        <item x="78"/>
        <item x="166"/>
        <item x="158"/>
        <item x="260"/>
        <item x="155"/>
        <item x="151"/>
        <item x="91"/>
        <item x="105"/>
        <item x="126"/>
        <item x="49"/>
        <item x="25"/>
        <item x="247"/>
        <item x="84"/>
        <item x="44"/>
        <item x="123"/>
        <item x="241"/>
        <item x="162"/>
        <item x="192"/>
        <item x="115"/>
        <item x="161"/>
        <item x="125"/>
        <item x="32"/>
        <item x="85"/>
        <item x="30"/>
        <item x="120"/>
        <item x="69"/>
        <item x="245"/>
        <item x="215"/>
        <item x="196"/>
        <item x="79"/>
        <item x="217"/>
        <item x="266"/>
        <item x="136"/>
        <item x="8"/>
        <item x="229"/>
        <item x="218"/>
        <item x="248"/>
        <item x="60"/>
        <item x="185"/>
        <item x="152"/>
        <item x="195"/>
        <item x="144"/>
        <item x="142"/>
        <item x="177"/>
        <item x="221"/>
        <item x="99"/>
        <item x="16"/>
        <item x="106"/>
        <item x="176"/>
        <item x="61"/>
        <item x="258"/>
        <item x="225"/>
        <item x="23"/>
        <item x="63"/>
        <item x="273"/>
        <item x="7"/>
        <item x="183"/>
        <item x="232"/>
        <item x="251"/>
        <item x="272"/>
        <item x="42"/>
        <item x="239"/>
        <item x="58"/>
        <item x="249"/>
        <item x="52"/>
        <item x="160"/>
        <item x="35"/>
        <item x="133"/>
        <item x="233"/>
        <item x="87"/>
        <item x="75"/>
        <item x="209"/>
        <item x="54"/>
        <item x="37"/>
        <item x="100"/>
        <item x="74"/>
        <item x="67"/>
        <item x="237"/>
        <item x="149"/>
        <item x="224"/>
        <item x="210"/>
        <item x="21"/>
        <item x="242"/>
        <item x="170"/>
        <item x="80"/>
        <item x="77"/>
        <item x="59"/>
        <item x="180"/>
        <item x="113"/>
        <item x="34"/>
        <item x="274"/>
        <item x="51"/>
        <item x="171"/>
        <item x="104"/>
        <item x="147"/>
        <item x="268"/>
        <item x="28"/>
        <item x="244"/>
        <item x="238"/>
        <item x="66"/>
        <item x="211"/>
        <item x="227"/>
        <item x="214"/>
        <item x="14"/>
        <item x="184"/>
        <item x="19"/>
        <item x="56"/>
        <item x="38"/>
        <item x="64"/>
        <item x="186"/>
        <item x="187"/>
        <item x="68"/>
        <item x="163"/>
        <item x="240"/>
        <item x="119"/>
        <item x="43"/>
        <item x="178"/>
        <item x="219"/>
        <item x="1"/>
        <item x="236"/>
        <item x="18"/>
        <item x="137"/>
        <item x="175"/>
        <item x="57"/>
        <item x="17"/>
        <item x="26"/>
        <item x="98"/>
        <item x="223"/>
        <item x="82"/>
        <item x="220"/>
        <item x="255"/>
        <item x="143"/>
        <item x="206"/>
        <item x="22"/>
        <item x="97"/>
        <item x="250"/>
        <item x="138"/>
        <item x="122"/>
        <item x="213"/>
        <item x="6"/>
        <item x="5"/>
        <item x="271"/>
        <item x="124"/>
        <item x="173"/>
        <item x="15"/>
        <item x="188"/>
        <item x="4"/>
        <item x="135"/>
        <item x="256"/>
        <item x="89"/>
        <item x="263"/>
        <item x="168"/>
        <item x="36"/>
        <item x="110"/>
        <item x="172"/>
        <item x="226"/>
        <item x="127"/>
        <item x="140"/>
        <item x="62"/>
        <item x="252"/>
        <item x="70"/>
        <item x="55"/>
        <item x="112"/>
        <item x="148"/>
        <item x="72"/>
        <item x="207"/>
        <item x="50"/>
        <item x="9"/>
        <item x="167"/>
        <item x="264"/>
        <item x="83"/>
        <item x="216"/>
        <item x="228"/>
        <item x="165"/>
        <item x="212"/>
        <item x="153"/>
        <item x="205"/>
        <item x="65"/>
        <item x="146"/>
        <item x="33"/>
        <item x="269"/>
        <item x="262"/>
        <item x="134"/>
        <item x="222"/>
        <item x="101"/>
        <item x="86"/>
        <item x="246"/>
        <item x="235"/>
        <item x="199"/>
        <item x="47"/>
        <item x="102"/>
        <item x="88"/>
        <item x="174"/>
        <item x="243"/>
        <item x="234"/>
        <item x="193"/>
        <item x="164"/>
        <item x="259"/>
        <item x="108"/>
        <item x="76"/>
        <item x="116"/>
        <item x="2"/>
        <item x="169"/>
        <item x="201"/>
        <item x="145"/>
        <item t="default"/>
      </items>
    </pivotField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3" baseField="0" baseItem="0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0AB439D-DA04-4DF7-A41C-7C728FED1843}" autoFormatId="16" applyNumberFormats="0" applyBorderFormats="0" applyFontFormats="0" applyPatternFormats="0" applyAlignmentFormats="0" applyWidthHeightFormats="0">
  <queryTableRefresh nextId="19" unboundColumnsRight="4">
    <queryTableFields count="17">
      <queryTableField id="1" name="Order_ID" tableColumnId="1"/>
      <queryTableField id="2" name="Order_Date" tableColumnId="2"/>
      <queryTableField id="3" name="Customer_ID" tableColumnId="3"/>
      <queryTableField id="4" name="Customer_Name" tableColumnId="4"/>
      <queryTableField id="5" name="City" tableColumnId="5"/>
      <queryTableField id="6" name="Region" tableColumnId="6"/>
      <queryTableField id="7" name="Category" tableColumnId="7"/>
      <queryTableField id="8" name="Product" tableColumnId="8"/>
      <queryTableField id="9" name="Quantity" tableColumnId="9"/>
      <queryTableField id="10" name="Unit_Price" tableColumnId="10"/>
      <queryTableField id="11" name="Discount_Percent" tableColumnId="11"/>
      <queryTableField id="12" name="Unit_Cost" tableColumnId="12"/>
      <queryTableField id="13" name="Segment" tableColumnId="13"/>
      <queryTableField id="14" dataBound="0" tableColumnId="14"/>
      <queryTableField id="15" dataBound="0" tableColumnId="15"/>
      <queryTableField id="17" dataBound="0" tableColumnId="17"/>
      <queryTableField id="18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6FBAB4-531F-4CD2-A5CE-D7643C7FC831}" name="sales_data_analysis_dataset" displayName="sales_data_analysis_dataset" ref="A1:Q501" tableType="queryTable" totalsRowShown="0">
  <tableColumns count="17">
    <tableColumn id="1" xr3:uid="{CDFE8ACA-110B-43FD-A58F-7EEAB9BC893F}" uniqueName="1" name="Order_ID" queryTableFieldId="1" dataDxfId="12"/>
    <tableColumn id="2" xr3:uid="{606FE9D4-E5D7-4283-B68A-F122388BF3E5}" uniqueName="2" name="Order_Date" queryTableFieldId="2" dataDxfId="11"/>
    <tableColumn id="3" xr3:uid="{C7B04444-1E14-4C31-A171-8834ADD8E36E}" uniqueName="3" name="Customer_ID" queryTableFieldId="3" dataDxfId="10"/>
    <tableColumn id="4" xr3:uid="{910F6A3C-1023-41AF-AD6B-25EF5397AFEE}" uniqueName="4" name="Customer_Name" queryTableFieldId="4" dataDxfId="9"/>
    <tableColumn id="5" xr3:uid="{50B0D388-A113-4D73-B1F7-66515BAA3508}" uniqueName="5" name="City" queryTableFieldId="5" dataDxfId="8"/>
    <tableColumn id="6" xr3:uid="{75787C9D-B8E0-45E5-B2E3-5C85EB88C26A}" uniqueName="6" name="Region" queryTableFieldId="6" dataDxfId="7"/>
    <tableColumn id="7" xr3:uid="{55F6829E-3B16-49A9-AC87-0D1FDDD3CAFB}" uniqueName="7" name="Category" queryTableFieldId="7" dataDxfId="6"/>
    <tableColumn id="8" xr3:uid="{C8035E4E-7569-47E7-A8C8-82A2A896C6C5}" uniqueName="8" name="Product" queryTableFieldId="8" dataDxfId="5"/>
    <tableColumn id="9" xr3:uid="{FFB59B97-0438-4993-92F5-8026228A0181}" uniqueName="9" name="Quantity" queryTableFieldId="9"/>
    <tableColumn id="10" xr3:uid="{45EC8C1F-3CC4-43C1-B136-611A0FF8FE7B}" uniqueName="10" name="Unit_Price" queryTableFieldId="10"/>
    <tableColumn id="11" xr3:uid="{6D6983CD-E12B-481B-83C7-75B94C7DA932}" uniqueName="11" name="Discount_Percent" queryTableFieldId="11"/>
    <tableColumn id="12" xr3:uid="{D9E8F04F-F32A-4460-B81B-A584A96E06CF}" uniqueName="12" name="Unit_Cost" queryTableFieldId="12"/>
    <tableColumn id="13" xr3:uid="{1E232CA2-F917-44B9-BD9B-581B9DE4102D}" uniqueName="13" name="Segment" queryTableFieldId="13" dataDxfId="4"/>
    <tableColumn id="14" xr3:uid="{EC0424A0-11B9-478E-8579-80E65014D765}" uniqueName="14" name="Sales" queryTableFieldId="14" dataDxfId="3">
      <calculatedColumnFormula>I2*J2*(1-K2)</calculatedColumnFormula>
    </tableColumn>
    <tableColumn id="15" xr3:uid="{A3557FF1-7C53-4706-B682-EC177BE0AD5F}" uniqueName="15" name="Profit" queryTableFieldId="15" dataDxfId="2">
      <calculatedColumnFormula>N2-(L2*I2)</calculatedColumnFormula>
    </tableColumn>
    <tableColumn id="17" xr3:uid="{94846831-3FB3-4572-AEA4-2B3BF53726E2}" uniqueName="17" name="Total sales" queryTableFieldId="17" dataDxfId="1">
      <calculatedColumnFormula>SUM(N2:N501)</calculatedColumnFormula>
    </tableColumn>
    <tableColumn id="18" xr3:uid="{A1C0BA75-D88F-4D98-BD21-53FB19DB9C9C}" uniqueName="18" name="Total profit" queryTableFieldId="18" dataDxfId="0">
      <calculatedColumnFormula>SUM(O2:O501)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2B370-1248-49AA-8AC9-EBBEC2617409}">
  <dimension ref="A1:Q501"/>
  <sheetViews>
    <sheetView tabSelected="1" topLeftCell="F483" workbookViewId="0">
      <selection activeCell="J501" sqref="J501"/>
    </sheetView>
  </sheetViews>
  <sheetFormatPr defaultRowHeight="15"/>
  <cols>
    <col min="1" max="1" width="11.28515625" bestFit="1" customWidth="1"/>
    <col min="2" max="2" width="11.28515625" style="1" bestFit="1" customWidth="1"/>
    <col min="3" max="3" width="15.140625" bestFit="1" customWidth="1"/>
    <col min="4" max="4" width="18.5703125" bestFit="1" customWidth="1"/>
    <col min="5" max="5" width="10.5703125" bestFit="1" customWidth="1"/>
    <col min="6" max="6" width="9.5703125" bestFit="1" customWidth="1"/>
    <col min="7" max="8" width="15" bestFit="1" customWidth="1"/>
    <col min="9" max="9" width="11" bestFit="1" customWidth="1"/>
    <col min="10" max="10" width="12.42578125" bestFit="1" customWidth="1"/>
    <col min="11" max="11" width="19.5703125" bestFit="1" customWidth="1"/>
    <col min="12" max="12" width="12.140625" bestFit="1" customWidth="1"/>
    <col min="13" max="13" width="11.7109375" bestFit="1" customWidth="1"/>
    <col min="15" max="15" width="9.28515625" customWidth="1"/>
    <col min="16" max="16" width="10.5703125" bestFit="1" customWidth="1"/>
    <col min="17" max="17" width="10.85546875" bestFit="1" customWidth="1"/>
  </cols>
  <sheetData>
    <row r="1" spans="1:17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890</v>
      </c>
      <c r="O1" t="s">
        <v>891</v>
      </c>
      <c r="P1" t="s">
        <v>892</v>
      </c>
      <c r="Q1" t="s">
        <v>893</v>
      </c>
    </row>
    <row r="2" spans="1:17">
      <c r="A2" t="s">
        <v>13</v>
      </c>
      <c r="B2" s="1">
        <v>45747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3</v>
      </c>
      <c r="J2">
        <v>1200</v>
      </c>
      <c r="K2">
        <v>0.05</v>
      </c>
      <c r="L2">
        <v>350</v>
      </c>
      <c r="M2" t="s">
        <v>20</v>
      </c>
      <c r="N2">
        <f>I2*J2*(1-K2)</f>
        <v>3420</v>
      </c>
      <c r="O2">
        <f t="shared" ref="O2:O65" si="0">N2-(L2*I2)</f>
        <v>2370</v>
      </c>
      <c r="P2">
        <f t="shared" ref="P2:P65" si="1">SUM(N2:N501)</f>
        <v>9800307.5</v>
      </c>
      <c r="Q2">
        <f t="shared" ref="Q2:Q65" si="2">SUM(O2:O501)</f>
        <v>7532097.5</v>
      </c>
    </row>
    <row r="3" spans="1:17">
      <c r="A3" t="s">
        <v>21</v>
      </c>
      <c r="B3" s="1">
        <v>45914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>
        <v>4</v>
      </c>
      <c r="J3">
        <v>22000</v>
      </c>
      <c r="K3">
        <v>0.05</v>
      </c>
      <c r="L3">
        <v>5000</v>
      </c>
      <c r="M3" t="s">
        <v>28</v>
      </c>
      <c r="N3">
        <f t="shared" ref="N3:N65" si="3">I3*J3*(1-K3)</f>
        <v>83600</v>
      </c>
      <c r="O3">
        <f t="shared" si="0"/>
        <v>63600</v>
      </c>
      <c r="P3">
        <f t="shared" si="1"/>
        <v>9796887.5</v>
      </c>
      <c r="Q3">
        <f t="shared" si="2"/>
        <v>7529727.5</v>
      </c>
    </row>
    <row r="4" spans="1:17">
      <c r="A4" t="s">
        <v>29</v>
      </c>
      <c r="B4" s="1">
        <v>46019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>
        <v>2</v>
      </c>
      <c r="J4">
        <v>18000</v>
      </c>
      <c r="K4">
        <v>0</v>
      </c>
      <c r="L4">
        <v>3000</v>
      </c>
      <c r="M4" t="s">
        <v>28</v>
      </c>
      <c r="N4">
        <f t="shared" si="3"/>
        <v>36000</v>
      </c>
      <c r="O4">
        <f t="shared" si="0"/>
        <v>30000</v>
      </c>
      <c r="P4">
        <f t="shared" si="1"/>
        <v>9713287.5</v>
      </c>
      <c r="Q4">
        <f t="shared" si="2"/>
        <v>7466127.5</v>
      </c>
    </row>
    <row r="5" spans="1:17">
      <c r="A5" t="s">
        <v>36</v>
      </c>
      <c r="B5" s="1">
        <v>45699</v>
      </c>
      <c r="C5" t="s">
        <v>37</v>
      </c>
      <c r="D5" t="s">
        <v>38</v>
      </c>
      <c r="E5" t="s">
        <v>39</v>
      </c>
      <c r="F5" t="s">
        <v>40</v>
      </c>
      <c r="G5" t="s">
        <v>34</v>
      </c>
      <c r="H5" t="s">
        <v>41</v>
      </c>
      <c r="I5">
        <v>3</v>
      </c>
      <c r="J5">
        <v>52000</v>
      </c>
      <c r="K5">
        <v>0.1</v>
      </c>
      <c r="L5">
        <v>9000</v>
      </c>
      <c r="M5" t="s">
        <v>28</v>
      </c>
      <c r="N5">
        <f t="shared" si="3"/>
        <v>140400</v>
      </c>
      <c r="O5">
        <f t="shared" si="0"/>
        <v>113400</v>
      </c>
      <c r="P5">
        <f t="shared" si="1"/>
        <v>9677287.5</v>
      </c>
      <c r="Q5">
        <f t="shared" si="2"/>
        <v>7436127.5</v>
      </c>
    </row>
    <row r="6" spans="1:17">
      <c r="A6" t="s">
        <v>42</v>
      </c>
      <c r="B6" s="1">
        <v>45950</v>
      </c>
      <c r="C6" t="s">
        <v>43</v>
      </c>
      <c r="D6" t="s">
        <v>44</v>
      </c>
      <c r="E6" t="s">
        <v>45</v>
      </c>
      <c r="F6" t="s">
        <v>40</v>
      </c>
      <c r="G6" t="s">
        <v>46</v>
      </c>
      <c r="H6" t="s">
        <v>47</v>
      </c>
      <c r="I6">
        <v>4</v>
      </c>
      <c r="J6">
        <v>550</v>
      </c>
      <c r="K6">
        <v>0.05</v>
      </c>
      <c r="L6">
        <v>180</v>
      </c>
      <c r="M6" t="s">
        <v>48</v>
      </c>
      <c r="N6">
        <f t="shared" si="3"/>
        <v>2090</v>
      </c>
      <c r="O6">
        <f t="shared" si="0"/>
        <v>1370</v>
      </c>
      <c r="P6">
        <f t="shared" si="1"/>
        <v>9536887.5</v>
      </c>
      <c r="Q6">
        <f t="shared" si="2"/>
        <v>7322727.5</v>
      </c>
    </row>
    <row r="7" spans="1:17">
      <c r="A7" t="s">
        <v>49</v>
      </c>
      <c r="B7" s="1">
        <v>45943</v>
      </c>
      <c r="C7" t="s">
        <v>50</v>
      </c>
      <c r="D7" t="s">
        <v>51</v>
      </c>
      <c r="E7" t="s">
        <v>52</v>
      </c>
      <c r="F7" t="s">
        <v>17</v>
      </c>
      <c r="G7" t="s">
        <v>34</v>
      </c>
      <c r="H7" t="s">
        <v>53</v>
      </c>
      <c r="I7">
        <v>2</v>
      </c>
      <c r="J7">
        <v>950</v>
      </c>
      <c r="K7">
        <v>0</v>
      </c>
      <c r="L7">
        <v>300</v>
      </c>
      <c r="M7" t="s">
        <v>48</v>
      </c>
      <c r="N7">
        <f t="shared" si="3"/>
        <v>1900</v>
      </c>
      <c r="O7">
        <f t="shared" si="0"/>
        <v>1300</v>
      </c>
      <c r="P7">
        <f t="shared" si="1"/>
        <v>9534797.5</v>
      </c>
      <c r="Q7">
        <f t="shared" si="2"/>
        <v>7321357.5</v>
      </c>
    </row>
    <row r="8" spans="1:17">
      <c r="A8" t="s">
        <v>54</v>
      </c>
      <c r="B8" s="1">
        <v>45942</v>
      </c>
      <c r="C8" t="s">
        <v>30</v>
      </c>
      <c r="D8" t="s">
        <v>55</v>
      </c>
      <c r="E8" t="s">
        <v>39</v>
      </c>
      <c r="F8" t="s">
        <v>33</v>
      </c>
      <c r="G8" t="s">
        <v>34</v>
      </c>
      <c r="H8" t="s">
        <v>56</v>
      </c>
      <c r="I8">
        <v>2</v>
      </c>
      <c r="J8">
        <v>1800</v>
      </c>
      <c r="K8">
        <v>0.15</v>
      </c>
      <c r="L8">
        <v>650</v>
      </c>
      <c r="M8" t="s">
        <v>28</v>
      </c>
      <c r="N8">
        <f t="shared" si="3"/>
        <v>3060</v>
      </c>
      <c r="O8">
        <f t="shared" si="0"/>
        <v>1760</v>
      </c>
      <c r="P8">
        <f t="shared" si="1"/>
        <v>9532897.5</v>
      </c>
      <c r="Q8">
        <f t="shared" si="2"/>
        <v>7320057.5</v>
      </c>
    </row>
    <row r="9" spans="1:17">
      <c r="A9" t="s">
        <v>57</v>
      </c>
      <c r="B9" s="1">
        <v>45828</v>
      </c>
      <c r="C9" t="s">
        <v>58</v>
      </c>
      <c r="D9" t="s">
        <v>59</v>
      </c>
      <c r="E9" t="s">
        <v>16</v>
      </c>
      <c r="F9" t="s">
        <v>33</v>
      </c>
      <c r="G9" t="s">
        <v>46</v>
      </c>
      <c r="H9" t="s">
        <v>60</v>
      </c>
      <c r="I9">
        <v>3</v>
      </c>
      <c r="J9">
        <v>2600</v>
      </c>
      <c r="K9">
        <v>0</v>
      </c>
      <c r="L9">
        <v>800</v>
      </c>
      <c r="M9" t="s">
        <v>20</v>
      </c>
      <c r="N9">
        <f t="shared" si="3"/>
        <v>7800</v>
      </c>
      <c r="O9">
        <f t="shared" si="0"/>
        <v>5400</v>
      </c>
      <c r="P9">
        <f t="shared" si="1"/>
        <v>9529837.5</v>
      </c>
      <c r="Q9">
        <f t="shared" si="2"/>
        <v>7318297.5</v>
      </c>
    </row>
    <row r="10" spans="1:17">
      <c r="A10" t="s">
        <v>61</v>
      </c>
      <c r="B10" s="1">
        <v>45797</v>
      </c>
      <c r="C10" t="s">
        <v>62</v>
      </c>
      <c r="D10" t="s">
        <v>63</v>
      </c>
      <c r="E10" t="s">
        <v>45</v>
      </c>
      <c r="F10" t="s">
        <v>25</v>
      </c>
      <c r="G10" t="s">
        <v>34</v>
      </c>
      <c r="H10" t="s">
        <v>56</v>
      </c>
      <c r="I10">
        <v>1</v>
      </c>
      <c r="J10">
        <v>1800</v>
      </c>
      <c r="K10">
        <v>0.1</v>
      </c>
      <c r="L10">
        <v>650</v>
      </c>
      <c r="M10" t="s">
        <v>48</v>
      </c>
      <c r="N10">
        <f t="shared" si="3"/>
        <v>1620</v>
      </c>
      <c r="O10">
        <f t="shared" si="0"/>
        <v>970</v>
      </c>
      <c r="P10">
        <f t="shared" si="1"/>
        <v>9522037.5</v>
      </c>
      <c r="Q10">
        <f t="shared" si="2"/>
        <v>7312897.5</v>
      </c>
    </row>
    <row r="11" spans="1:17">
      <c r="A11" t="s">
        <v>64</v>
      </c>
      <c r="B11" s="1">
        <v>45975</v>
      </c>
      <c r="C11" t="s">
        <v>65</v>
      </c>
      <c r="D11" t="s">
        <v>66</v>
      </c>
      <c r="E11" t="s">
        <v>39</v>
      </c>
      <c r="F11" t="s">
        <v>40</v>
      </c>
      <c r="G11" t="s">
        <v>46</v>
      </c>
      <c r="H11" t="s">
        <v>47</v>
      </c>
      <c r="I11">
        <v>4</v>
      </c>
      <c r="J11">
        <v>550</v>
      </c>
      <c r="K11">
        <v>0</v>
      </c>
      <c r="L11">
        <v>180</v>
      </c>
      <c r="M11" t="s">
        <v>48</v>
      </c>
      <c r="N11">
        <f t="shared" si="3"/>
        <v>2200</v>
      </c>
      <c r="O11">
        <f t="shared" si="0"/>
        <v>1480</v>
      </c>
      <c r="P11">
        <f t="shared" si="1"/>
        <v>9520417.5</v>
      </c>
      <c r="Q11">
        <f t="shared" si="2"/>
        <v>7311927.5</v>
      </c>
    </row>
    <row r="12" spans="1:17">
      <c r="A12" t="s">
        <v>67</v>
      </c>
      <c r="B12" s="1">
        <v>45735</v>
      </c>
      <c r="C12" t="s">
        <v>68</v>
      </c>
      <c r="D12" t="s">
        <v>69</v>
      </c>
      <c r="E12" t="s">
        <v>32</v>
      </c>
      <c r="F12" t="s">
        <v>17</v>
      </c>
      <c r="G12" t="s">
        <v>18</v>
      </c>
      <c r="H12" t="s">
        <v>70</v>
      </c>
      <c r="I12">
        <v>2</v>
      </c>
      <c r="J12">
        <v>2400</v>
      </c>
      <c r="K12">
        <v>0.05</v>
      </c>
      <c r="L12">
        <v>650</v>
      </c>
      <c r="M12" t="s">
        <v>28</v>
      </c>
      <c r="N12">
        <f t="shared" si="3"/>
        <v>4560</v>
      </c>
      <c r="O12">
        <f t="shared" si="0"/>
        <v>3260</v>
      </c>
      <c r="P12">
        <f t="shared" si="1"/>
        <v>9518217.5</v>
      </c>
      <c r="Q12">
        <f t="shared" si="2"/>
        <v>7310447.5</v>
      </c>
    </row>
    <row r="13" spans="1:17">
      <c r="A13" t="s">
        <v>71</v>
      </c>
      <c r="B13" s="1">
        <v>45740</v>
      </c>
      <c r="C13" t="s">
        <v>72</v>
      </c>
      <c r="D13" t="s">
        <v>73</v>
      </c>
      <c r="E13" t="s">
        <v>16</v>
      </c>
      <c r="F13" t="s">
        <v>33</v>
      </c>
      <c r="G13" t="s">
        <v>46</v>
      </c>
      <c r="H13" t="s">
        <v>60</v>
      </c>
      <c r="I13">
        <v>3</v>
      </c>
      <c r="J13">
        <v>2600</v>
      </c>
      <c r="K13">
        <v>0</v>
      </c>
      <c r="L13">
        <v>800</v>
      </c>
      <c r="M13" t="s">
        <v>28</v>
      </c>
      <c r="N13">
        <f t="shared" si="3"/>
        <v>7800</v>
      </c>
      <c r="O13">
        <f t="shared" si="0"/>
        <v>5400</v>
      </c>
      <c r="P13">
        <f t="shared" si="1"/>
        <v>9513657.5</v>
      </c>
      <c r="Q13">
        <f t="shared" si="2"/>
        <v>7307187.5</v>
      </c>
    </row>
    <row r="14" spans="1:17">
      <c r="A14" t="s">
        <v>74</v>
      </c>
      <c r="B14" s="1">
        <v>45701</v>
      </c>
      <c r="C14" t="s">
        <v>75</v>
      </c>
      <c r="D14" t="s">
        <v>63</v>
      </c>
      <c r="E14" t="s">
        <v>32</v>
      </c>
      <c r="F14" t="s">
        <v>25</v>
      </c>
      <c r="G14" t="s">
        <v>18</v>
      </c>
      <c r="H14" t="s">
        <v>76</v>
      </c>
      <c r="I14">
        <v>1</v>
      </c>
      <c r="J14">
        <v>850</v>
      </c>
      <c r="K14">
        <v>0.15</v>
      </c>
      <c r="L14">
        <v>250</v>
      </c>
      <c r="M14" t="s">
        <v>28</v>
      </c>
      <c r="N14">
        <f t="shared" si="3"/>
        <v>722.5</v>
      </c>
      <c r="O14">
        <f t="shared" si="0"/>
        <v>472.5</v>
      </c>
      <c r="P14">
        <f t="shared" si="1"/>
        <v>9505857.5</v>
      </c>
      <c r="Q14">
        <f t="shared" si="2"/>
        <v>7301787.5</v>
      </c>
    </row>
    <row r="15" spans="1:17">
      <c r="A15" t="s">
        <v>77</v>
      </c>
      <c r="B15" s="1">
        <v>45683</v>
      </c>
      <c r="C15" t="s">
        <v>78</v>
      </c>
      <c r="D15" t="s">
        <v>79</v>
      </c>
      <c r="E15" t="s">
        <v>24</v>
      </c>
      <c r="F15" t="s">
        <v>40</v>
      </c>
      <c r="G15" t="s">
        <v>46</v>
      </c>
      <c r="H15" t="s">
        <v>80</v>
      </c>
      <c r="I15">
        <v>2</v>
      </c>
      <c r="J15">
        <v>1900</v>
      </c>
      <c r="K15">
        <v>0.05</v>
      </c>
      <c r="L15">
        <v>600</v>
      </c>
      <c r="M15" t="s">
        <v>20</v>
      </c>
      <c r="N15">
        <f t="shared" si="3"/>
        <v>3610</v>
      </c>
      <c r="O15">
        <f t="shared" si="0"/>
        <v>2410</v>
      </c>
      <c r="P15">
        <f t="shared" si="1"/>
        <v>9505135</v>
      </c>
      <c r="Q15">
        <f t="shared" si="2"/>
        <v>7301315</v>
      </c>
    </row>
    <row r="16" spans="1:17">
      <c r="A16" t="s">
        <v>81</v>
      </c>
      <c r="B16" s="1">
        <v>45893</v>
      </c>
      <c r="C16" t="s">
        <v>82</v>
      </c>
      <c r="D16" t="s">
        <v>83</v>
      </c>
      <c r="E16" t="s">
        <v>84</v>
      </c>
      <c r="F16" t="s">
        <v>33</v>
      </c>
      <c r="G16" t="s">
        <v>18</v>
      </c>
      <c r="H16" t="s">
        <v>85</v>
      </c>
      <c r="I16">
        <v>4</v>
      </c>
      <c r="J16">
        <v>350</v>
      </c>
      <c r="K16">
        <v>0</v>
      </c>
      <c r="L16">
        <v>100</v>
      </c>
      <c r="M16" t="s">
        <v>20</v>
      </c>
      <c r="N16">
        <f t="shared" si="3"/>
        <v>1400</v>
      </c>
      <c r="O16">
        <f t="shared" si="0"/>
        <v>1000</v>
      </c>
      <c r="P16">
        <f t="shared" si="1"/>
        <v>9501525</v>
      </c>
      <c r="Q16">
        <f t="shared" si="2"/>
        <v>7298905</v>
      </c>
    </row>
    <row r="17" spans="1:17">
      <c r="A17" t="s">
        <v>86</v>
      </c>
      <c r="B17" s="1">
        <v>45948</v>
      </c>
      <c r="C17" t="s">
        <v>87</v>
      </c>
      <c r="D17" t="s">
        <v>88</v>
      </c>
      <c r="E17" t="s">
        <v>45</v>
      </c>
      <c r="F17" t="s">
        <v>33</v>
      </c>
      <c r="G17" t="s">
        <v>46</v>
      </c>
      <c r="H17" t="s">
        <v>80</v>
      </c>
      <c r="I17">
        <v>1</v>
      </c>
      <c r="J17">
        <v>1900</v>
      </c>
      <c r="K17">
        <v>0.15</v>
      </c>
      <c r="L17">
        <v>600</v>
      </c>
      <c r="M17" t="s">
        <v>28</v>
      </c>
      <c r="N17">
        <f t="shared" si="3"/>
        <v>1615</v>
      </c>
      <c r="O17">
        <f t="shared" si="0"/>
        <v>1015</v>
      </c>
      <c r="P17">
        <f t="shared" si="1"/>
        <v>9500125</v>
      </c>
      <c r="Q17">
        <f t="shared" si="2"/>
        <v>7297905</v>
      </c>
    </row>
    <row r="18" spans="1:17">
      <c r="A18" t="s">
        <v>89</v>
      </c>
      <c r="B18" s="1">
        <v>45818</v>
      </c>
      <c r="C18" t="s">
        <v>90</v>
      </c>
      <c r="D18" t="s">
        <v>91</v>
      </c>
      <c r="E18" t="s">
        <v>32</v>
      </c>
      <c r="F18" t="s">
        <v>33</v>
      </c>
      <c r="G18" t="s">
        <v>26</v>
      </c>
      <c r="H18" t="s">
        <v>92</v>
      </c>
      <c r="I18">
        <v>2</v>
      </c>
      <c r="J18">
        <v>15000</v>
      </c>
      <c r="K18">
        <v>0.15</v>
      </c>
      <c r="L18">
        <v>3500</v>
      </c>
      <c r="M18" t="s">
        <v>48</v>
      </c>
      <c r="N18">
        <f t="shared" si="3"/>
        <v>25500</v>
      </c>
      <c r="O18">
        <f t="shared" si="0"/>
        <v>18500</v>
      </c>
      <c r="P18">
        <f t="shared" si="1"/>
        <v>9498510</v>
      </c>
      <c r="Q18">
        <f t="shared" si="2"/>
        <v>7296890</v>
      </c>
    </row>
    <row r="19" spans="1:17">
      <c r="A19" t="s">
        <v>93</v>
      </c>
      <c r="B19" s="1">
        <v>45923</v>
      </c>
      <c r="C19" t="s">
        <v>94</v>
      </c>
      <c r="D19" t="s">
        <v>95</v>
      </c>
      <c r="E19" t="s">
        <v>45</v>
      </c>
      <c r="F19" t="s">
        <v>25</v>
      </c>
      <c r="G19" t="s">
        <v>46</v>
      </c>
      <c r="H19" t="s">
        <v>96</v>
      </c>
      <c r="I19">
        <v>5</v>
      </c>
      <c r="J19">
        <v>3200</v>
      </c>
      <c r="K19">
        <v>0</v>
      </c>
      <c r="L19">
        <v>950</v>
      </c>
      <c r="M19" t="s">
        <v>28</v>
      </c>
      <c r="N19">
        <f t="shared" si="3"/>
        <v>16000</v>
      </c>
      <c r="O19">
        <f t="shared" si="0"/>
        <v>11250</v>
      </c>
      <c r="P19">
        <f t="shared" si="1"/>
        <v>9473010</v>
      </c>
      <c r="Q19">
        <f t="shared" si="2"/>
        <v>7278390</v>
      </c>
    </row>
    <row r="20" spans="1:17">
      <c r="A20" t="s">
        <v>97</v>
      </c>
      <c r="B20" s="1">
        <v>45916</v>
      </c>
      <c r="C20" t="s">
        <v>98</v>
      </c>
      <c r="D20" t="s">
        <v>99</v>
      </c>
      <c r="E20" t="s">
        <v>84</v>
      </c>
      <c r="F20" t="s">
        <v>40</v>
      </c>
      <c r="G20" t="s">
        <v>26</v>
      </c>
      <c r="H20" t="s">
        <v>27</v>
      </c>
      <c r="I20">
        <v>4</v>
      </c>
      <c r="J20">
        <v>22000</v>
      </c>
      <c r="K20">
        <v>0.1</v>
      </c>
      <c r="L20">
        <v>5000</v>
      </c>
      <c r="M20" t="s">
        <v>20</v>
      </c>
      <c r="N20">
        <f t="shared" si="3"/>
        <v>79200</v>
      </c>
      <c r="O20">
        <f t="shared" si="0"/>
        <v>59200</v>
      </c>
      <c r="P20">
        <f t="shared" si="1"/>
        <v>9457010</v>
      </c>
      <c r="Q20">
        <f t="shared" si="2"/>
        <v>7267140</v>
      </c>
    </row>
    <row r="21" spans="1:17">
      <c r="A21" t="s">
        <v>100</v>
      </c>
      <c r="B21" s="1">
        <v>45897</v>
      </c>
      <c r="C21" t="s">
        <v>101</v>
      </c>
      <c r="D21" t="s">
        <v>102</v>
      </c>
      <c r="E21" t="s">
        <v>32</v>
      </c>
      <c r="F21" t="s">
        <v>17</v>
      </c>
      <c r="G21" t="s">
        <v>46</v>
      </c>
      <c r="H21" t="s">
        <v>60</v>
      </c>
      <c r="I21">
        <v>2</v>
      </c>
      <c r="J21">
        <v>2600</v>
      </c>
      <c r="K21">
        <v>0</v>
      </c>
      <c r="L21">
        <v>800</v>
      </c>
      <c r="M21" t="s">
        <v>48</v>
      </c>
      <c r="N21">
        <f t="shared" si="3"/>
        <v>5200</v>
      </c>
      <c r="O21">
        <f t="shared" si="0"/>
        <v>3600</v>
      </c>
      <c r="P21">
        <f t="shared" si="1"/>
        <v>9377810</v>
      </c>
      <c r="Q21">
        <f t="shared" si="2"/>
        <v>7207940</v>
      </c>
    </row>
    <row r="22" spans="1:17">
      <c r="A22" t="s">
        <v>103</v>
      </c>
      <c r="B22" s="1">
        <v>45715</v>
      </c>
      <c r="C22" t="s">
        <v>104</v>
      </c>
      <c r="D22" t="s">
        <v>105</v>
      </c>
      <c r="E22" t="s">
        <v>32</v>
      </c>
      <c r="F22" t="s">
        <v>17</v>
      </c>
      <c r="G22" t="s">
        <v>34</v>
      </c>
      <c r="H22" t="s">
        <v>106</v>
      </c>
      <c r="I22">
        <v>1</v>
      </c>
      <c r="J22">
        <v>650</v>
      </c>
      <c r="K22">
        <v>0</v>
      </c>
      <c r="L22">
        <v>200</v>
      </c>
      <c r="M22" t="s">
        <v>20</v>
      </c>
      <c r="N22">
        <f t="shared" si="3"/>
        <v>650</v>
      </c>
      <c r="O22">
        <f t="shared" si="0"/>
        <v>450</v>
      </c>
      <c r="P22">
        <f t="shared" si="1"/>
        <v>9372610</v>
      </c>
      <c r="Q22">
        <f t="shared" si="2"/>
        <v>7204340</v>
      </c>
    </row>
    <row r="23" spans="1:17">
      <c r="A23" t="s">
        <v>107</v>
      </c>
      <c r="B23" s="1">
        <v>45862</v>
      </c>
      <c r="C23" t="s">
        <v>108</v>
      </c>
      <c r="D23" t="s">
        <v>109</v>
      </c>
      <c r="E23" t="s">
        <v>45</v>
      </c>
      <c r="F23" t="s">
        <v>17</v>
      </c>
      <c r="G23" t="s">
        <v>18</v>
      </c>
      <c r="H23" t="s">
        <v>85</v>
      </c>
      <c r="I23">
        <v>2</v>
      </c>
      <c r="J23">
        <v>350</v>
      </c>
      <c r="K23">
        <v>0</v>
      </c>
      <c r="L23">
        <v>100</v>
      </c>
      <c r="M23" t="s">
        <v>20</v>
      </c>
      <c r="N23">
        <f t="shared" si="3"/>
        <v>700</v>
      </c>
      <c r="O23">
        <f t="shared" si="0"/>
        <v>500</v>
      </c>
      <c r="P23">
        <f t="shared" si="1"/>
        <v>9371960</v>
      </c>
      <c r="Q23">
        <f t="shared" si="2"/>
        <v>7203890</v>
      </c>
    </row>
    <row r="24" spans="1:17">
      <c r="A24" t="s">
        <v>110</v>
      </c>
      <c r="B24" s="1">
        <v>45936</v>
      </c>
      <c r="C24" t="s">
        <v>111</v>
      </c>
      <c r="D24" t="s">
        <v>112</v>
      </c>
      <c r="E24" t="s">
        <v>24</v>
      </c>
      <c r="F24" t="s">
        <v>17</v>
      </c>
      <c r="G24" t="s">
        <v>46</v>
      </c>
      <c r="H24" t="s">
        <v>60</v>
      </c>
      <c r="I24">
        <v>3</v>
      </c>
      <c r="J24">
        <v>2600</v>
      </c>
      <c r="K24">
        <v>0.05</v>
      </c>
      <c r="L24">
        <v>800</v>
      </c>
      <c r="M24" t="s">
        <v>28</v>
      </c>
      <c r="N24">
        <f t="shared" si="3"/>
        <v>7410</v>
      </c>
      <c r="O24">
        <f t="shared" si="0"/>
        <v>5010</v>
      </c>
      <c r="P24">
        <f t="shared" si="1"/>
        <v>9371260</v>
      </c>
      <c r="Q24">
        <f t="shared" si="2"/>
        <v>7203390</v>
      </c>
    </row>
    <row r="25" spans="1:17">
      <c r="A25" t="s">
        <v>113</v>
      </c>
      <c r="B25" s="1">
        <v>45824</v>
      </c>
      <c r="C25" t="s">
        <v>114</v>
      </c>
      <c r="D25" t="s">
        <v>115</v>
      </c>
      <c r="E25" t="s">
        <v>52</v>
      </c>
      <c r="F25" t="s">
        <v>25</v>
      </c>
      <c r="G25" t="s">
        <v>46</v>
      </c>
      <c r="H25" t="s">
        <v>47</v>
      </c>
      <c r="I25">
        <v>1</v>
      </c>
      <c r="J25">
        <v>550</v>
      </c>
      <c r="K25">
        <v>0.05</v>
      </c>
      <c r="L25">
        <v>180</v>
      </c>
      <c r="M25" t="s">
        <v>28</v>
      </c>
      <c r="N25">
        <f t="shared" si="3"/>
        <v>522.5</v>
      </c>
      <c r="O25">
        <f t="shared" si="0"/>
        <v>342.5</v>
      </c>
      <c r="P25">
        <f t="shared" si="1"/>
        <v>9363850</v>
      </c>
      <c r="Q25">
        <f t="shared" si="2"/>
        <v>7198380</v>
      </c>
    </row>
    <row r="26" spans="1:17">
      <c r="A26" t="s">
        <v>116</v>
      </c>
      <c r="B26" s="1">
        <v>45721</v>
      </c>
      <c r="C26" t="s">
        <v>117</v>
      </c>
      <c r="D26" t="s">
        <v>51</v>
      </c>
      <c r="E26" t="s">
        <v>118</v>
      </c>
      <c r="F26" t="s">
        <v>40</v>
      </c>
      <c r="G26" t="s">
        <v>26</v>
      </c>
      <c r="H26" t="s">
        <v>27</v>
      </c>
      <c r="I26">
        <v>3</v>
      </c>
      <c r="J26">
        <v>22000</v>
      </c>
      <c r="K26">
        <v>0.1</v>
      </c>
      <c r="L26">
        <v>5000</v>
      </c>
      <c r="M26" t="s">
        <v>48</v>
      </c>
      <c r="N26">
        <f t="shared" si="3"/>
        <v>59400</v>
      </c>
      <c r="O26">
        <f t="shared" si="0"/>
        <v>44400</v>
      </c>
      <c r="P26">
        <f t="shared" si="1"/>
        <v>9363327.5</v>
      </c>
      <c r="Q26">
        <f t="shared" si="2"/>
        <v>7198037.5</v>
      </c>
    </row>
    <row r="27" spans="1:17">
      <c r="A27" t="s">
        <v>119</v>
      </c>
      <c r="B27" s="1">
        <v>45767</v>
      </c>
      <c r="C27" t="s">
        <v>37</v>
      </c>
      <c r="D27" t="s">
        <v>120</v>
      </c>
      <c r="E27" t="s">
        <v>39</v>
      </c>
      <c r="F27" t="s">
        <v>33</v>
      </c>
      <c r="G27" t="s">
        <v>26</v>
      </c>
      <c r="H27" t="s">
        <v>27</v>
      </c>
      <c r="I27">
        <v>3</v>
      </c>
      <c r="J27">
        <v>22000</v>
      </c>
      <c r="K27">
        <v>0</v>
      </c>
      <c r="L27">
        <v>5000</v>
      </c>
      <c r="M27" t="s">
        <v>20</v>
      </c>
      <c r="N27">
        <f t="shared" si="3"/>
        <v>66000</v>
      </c>
      <c r="O27">
        <f t="shared" si="0"/>
        <v>51000</v>
      </c>
      <c r="P27">
        <f t="shared" si="1"/>
        <v>9303927.5</v>
      </c>
      <c r="Q27">
        <f t="shared" si="2"/>
        <v>7153637.5</v>
      </c>
    </row>
    <row r="28" spans="1:17">
      <c r="A28" t="s">
        <v>121</v>
      </c>
      <c r="B28" s="1">
        <v>45925</v>
      </c>
      <c r="C28" t="s">
        <v>122</v>
      </c>
      <c r="D28" t="s">
        <v>123</v>
      </c>
      <c r="E28" t="s">
        <v>39</v>
      </c>
      <c r="F28" t="s">
        <v>25</v>
      </c>
      <c r="G28" t="s">
        <v>18</v>
      </c>
      <c r="H28" t="s">
        <v>76</v>
      </c>
      <c r="I28">
        <v>5</v>
      </c>
      <c r="J28">
        <v>850</v>
      </c>
      <c r="K28">
        <v>0.1</v>
      </c>
      <c r="L28">
        <v>250</v>
      </c>
      <c r="M28" t="s">
        <v>28</v>
      </c>
      <c r="N28">
        <f t="shared" si="3"/>
        <v>3825</v>
      </c>
      <c r="O28">
        <f t="shared" si="0"/>
        <v>2575</v>
      </c>
      <c r="P28">
        <f t="shared" si="1"/>
        <v>9237927.5</v>
      </c>
      <c r="Q28">
        <f t="shared" si="2"/>
        <v>7102637.5</v>
      </c>
    </row>
    <row r="29" spans="1:17">
      <c r="A29" t="s">
        <v>124</v>
      </c>
      <c r="B29" s="1">
        <v>45691</v>
      </c>
      <c r="C29" t="s">
        <v>125</v>
      </c>
      <c r="D29" t="s">
        <v>126</v>
      </c>
      <c r="E29" t="s">
        <v>39</v>
      </c>
      <c r="F29" t="s">
        <v>25</v>
      </c>
      <c r="G29" t="s">
        <v>46</v>
      </c>
      <c r="H29" t="s">
        <v>96</v>
      </c>
      <c r="I29">
        <v>3</v>
      </c>
      <c r="J29">
        <v>3200</v>
      </c>
      <c r="K29">
        <v>0.1</v>
      </c>
      <c r="L29">
        <v>950</v>
      </c>
      <c r="M29" t="s">
        <v>20</v>
      </c>
      <c r="N29">
        <f t="shared" si="3"/>
        <v>8640</v>
      </c>
      <c r="O29">
        <f t="shared" si="0"/>
        <v>5790</v>
      </c>
      <c r="P29">
        <f t="shared" si="1"/>
        <v>9234102.5</v>
      </c>
      <c r="Q29">
        <f t="shared" si="2"/>
        <v>7100062.5</v>
      </c>
    </row>
    <row r="30" spans="1:17">
      <c r="A30" t="s">
        <v>127</v>
      </c>
      <c r="B30" s="1">
        <v>45884</v>
      </c>
      <c r="C30" t="s">
        <v>128</v>
      </c>
      <c r="D30" t="s">
        <v>129</v>
      </c>
      <c r="E30" t="s">
        <v>16</v>
      </c>
      <c r="F30" t="s">
        <v>25</v>
      </c>
      <c r="G30" t="s">
        <v>18</v>
      </c>
      <c r="H30" t="s">
        <v>85</v>
      </c>
      <c r="I30">
        <v>3</v>
      </c>
      <c r="J30">
        <v>350</v>
      </c>
      <c r="K30">
        <v>0.15</v>
      </c>
      <c r="L30">
        <v>100</v>
      </c>
      <c r="M30" t="s">
        <v>48</v>
      </c>
      <c r="N30">
        <f t="shared" si="3"/>
        <v>892.5</v>
      </c>
      <c r="O30">
        <f t="shared" si="0"/>
        <v>592.5</v>
      </c>
      <c r="P30">
        <f t="shared" si="1"/>
        <v>9225462.5</v>
      </c>
      <c r="Q30">
        <f t="shared" si="2"/>
        <v>7094272.5</v>
      </c>
    </row>
    <row r="31" spans="1:17">
      <c r="A31" t="s">
        <v>130</v>
      </c>
      <c r="B31" s="1">
        <v>45661</v>
      </c>
      <c r="C31" t="s">
        <v>131</v>
      </c>
      <c r="D31" t="s">
        <v>132</v>
      </c>
      <c r="E31" t="s">
        <v>52</v>
      </c>
      <c r="F31" t="s">
        <v>40</v>
      </c>
      <c r="G31" t="s">
        <v>46</v>
      </c>
      <c r="H31" t="s">
        <v>80</v>
      </c>
      <c r="I31">
        <v>2</v>
      </c>
      <c r="J31">
        <v>1900</v>
      </c>
      <c r="K31">
        <v>0.05</v>
      </c>
      <c r="L31">
        <v>600</v>
      </c>
      <c r="M31" t="s">
        <v>20</v>
      </c>
      <c r="N31">
        <f t="shared" si="3"/>
        <v>3610</v>
      </c>
      <c r="O31">
        <f t="shared" si="0"/>
        <v>2410</v>
      </c>
      <c r="P31">
        <f t="shared" si="1"/>
        <v>9224570</v>
      </c>
      <c r="Q31">
        <f t="shared" si="2"/>
        <v>7093680</v>
      </c>
    </row>
    <row r="32" spans="1:17">
      <c r="A32" t="s">
        <v>133</v>
      </c>
      <c r="B32" s="1">
        <v>45782</v>
      </c>
      <c r="C32" t="s">
        <v>134</v>
      </c>
      <c r="D32" t="s">
        <v>135</v>
      </c>
      <c r="E32" t="s">
        <v>16</v>
      </c>
      <c r="F32" t="s">
        <v>17</v>
      </c>
      <c r="G32" t="s">
        <v>18</v>
      </c>
      <c r="H32" t="s">
        <v>136</v>
      </c>
      <c r="I32">
        <v>5</v>
      </c>
      <c r="J32">
        <v>2800</v>
      </c>
      <c r="K32">
        <v>0.1</v>
      </c>
      <c r="L32">
        <v>750</v>
      </c>
      <c r="M32" t="s">
        <v>48</v>
      </c>
      <c r="N32">
        <f t="shared" si="3"/>
        <v>12600</v>
      </c>
      <c r="O32">
        <f t="shared" si="0"/>
        <v>8850</v>
      </c>
      <c r="P32">
        <f t="shared" si="1"/>
        <v>9220960</v>
      </c>
      <c r="Q32">
        <f t="shared" si="2"/>
        <v>7091270</v>
      </c>
    </row>
    <row r="33" spans="1:17">
      <c r="A33" t="s">
        <v>137</v>
      </c>
      <c r="B33" s="1">
        <v>45734</v>
      </c>
      <c r="C33" t="s">
        <v>138</v>
      </c>
      <c r="D33" t="s">
        <v>139</v>
      </c>
      <c r="E33" t="s">
        <v>24</v>
      </c>
      <c r="F33" t="s">
        <v>33</v>
      </c>
      <c r="G33" t="s">
        <v>46</v>
      </c>
      <c r="H33" t="s">
        <v>96</v>
      </c>
      <c r="I33">
        <v>3</v>
      </c>
      <c r="J33">
        <v>3200</v>
      </c>
      <c r="K33">
        <v>0</v>
      </c>
      <c r="L33">
        <v>950</v>
      </c>
      <c r="M33" t="s">
        <v>28</v>
      </c>
      <c r="N33">
        <f t="shared" si="3"/>
        <v>9600</v>
      </c>
      <c r="O33">
        <f t="shared" si="0"/>
        <v>6750</v>
      </c>
      <c r="P33">
        <f t="shared" si="1"/>
        <v>9208360</v>
      </c>
      <c r="Q33">
        <f t="shared" si="2"/>
        <v>7082420</v>
      </c>
    </row>
    <row r="34" spans="1:17">
      <c r="A34" t="s">
        <v>140</v>
      </c>
      <c r="B34" s="1">
        <v>45779</v>
      </c>
      <c r="C34" t="s">
        <v>82</v>
      </c>
      <c r="D34" t="s">
        <v>141</v>
      </c>
      <c r="E34" t="s">
        <v>52</v>
      </c>
      <c r="F34" t="s">
        <v>40</v>
      </c>
      <c r="G34" t="s">
        <v>26</v>
      </c>
      <c r="H34" t="s">
        <v>27</v>
      </c>
      <c r="I34">
        <v>1</v>
      </c>
      <c r="J34">
        <v>22000</v>
      </c>
      <c r="K34">
        <v>0.05</v>
      </c>
      <c r="L34">
        <v>5000</v>
      </c>
      <c r="M34" t="s">
        <v>48</v>
      </c>
      <c r="N34">
        <f t="shared" si="3"/>
        <v>20900</v>
      </c>
      <c r="O34">
        <f t="shared" si="0"/>
        <v>15900</v>
      </c>
      <c r="P34">
        <f t="shared" si="1"/>
        <v>9198760</v>
      </c>
      <c r="Q34">
        <f t="shared" si="2"/>
        <v>7075670</v>
      </c>
    </row>
    <row r="35" spans="1:17">
      <c r="A35" t="s">
        <v>142</v>
      </c>
      <c r="B35" s="1">
        <v>45989</v>
      </c>
      <c r="C35" t="s">
        <v>143</v>
      </c>
      <c r="D35" t="s">
        <v>144</v>
      </c>
      <c r="E35" t="s">
        <v>45</v>
      </c>
      <c r="F35" t="s">
        <v>17</v>
      </c>
      <c r="G35" t="s">
        <v>46</v>
      </c>
      <c r="H35" t="s">
        <v>47</v>
      </c>
      <c r="I35">
        <v>3</v>
      </c>
      <c r="J35">
        <v>550</v>
      </c>
      <c r="K35">
        <v>0.1</v>
      </c>
      <c r="L35">
        <v>180</v>
      </c>
      <c r="M35" t="s">
        <v>28</v>
      </c>
      <c r="N35">
        <f t="shared" si="3"/>
        <v>1485</v>
      </c>
      <c r="O35">
        <f t="shared" si="0"/>
        <v>945</v>
      </c>
      <c r="P35">
        <f t="shared" si="1"/>
        <v>9177860</v>
      </c>
      <c r="Q35">
        <f t="shared" si="2"/>
        <v>7059770</v>
      </c>
    </row>
    <row r="36" spans="1:17">
      <c r="A36" t="s">
        <v>145</v>
      </c>
      <c r="B36" s="1">
        <v>45874</v>
      </c>
      <c r="C36" t="s">
        <v>146</v>
      </c>
      <c r="D36" t="s">
        <v>147</v>
      </c>
      <c r="E36" t="s">
        <v>16</v>
      </c>
      <c r="F36" t="s">
        <v>40</v>
      </c>
      <c r="G36" t="s">
        <v>34</v>
      </c>
      <c r="H36" t="s">
        <v>56</v>
      </c>
      <c r="I36">
        <v>4</v>
      </c>
      <c r="J36">
        <v>1800</v>
      </c>
      <c r="K36">
        <v>0.1</v>
      </c>
      <c r="L36">
        <v>650</v>
      </c>
      <c r="M36" t="s">
        <v>20</v>
      </c>
      <c r="N36">
        <f t="shared" si="3"/>
        <v>6480</v>
      </c>
      <c r="O36">
        <f t="shared" si="0"/>
        <v>3880</v>
      </c>
      <c r="P36">
        <f t="shared" si="1"/>
        <v>9176375</v>
      </c>
      <c r="Q36">
        <f t="shared" si="2"/>
        <v>7058825</v>
      </c>
    </row>
    <row r="37" spans="1:17">
      <c r="A37" t="s">
        <v>148</v>
      </c>
      <c r="B37" s="1">
        <v>45843</v>
      </c>
      <c r="C37" t="s">
        <v>149</v>
      </c>
      <c r="D37" t="s">
        <v>83</v>
      </c>
      <c r="E37" t="s">
        <v>24</v>
      </c>
      <c r="F37" t="s">
        <v>17</v>
      </c>
      <c r="G37" t="s">
        <v>18</v>
      </c>
      <c r="H37" t="s">
        <v>70</v>
      </c>
      <c r="I37">
        <v>2</v>
      </c>
      <c r="J37">
        <v>2400</v>
      </c>
      <c r="K37">
        <v>0</v>
      </c>
      <c r="L37">
        <v>650</v>
      </c>
      <c r="M37" t="s">
        <v>48</v>
      </c>
      <c r="N37">
        <f t="shared" si="3"/>
        <v>4800</v>
      </c>
      <c r="O37">
        <f t="shared" si="0"/>
        <v>3500</v>
      </c>
      <c r="P37">
        <f t="shared" si="1"/>
        <v>9169895</v>
      </c>
      <c r="Q37">
        <f t="shared" si="2"/>
        <v>7054945</v>
      </c>
    </row>
    <row r="38" spans="1:17">
      <c r="A38" t="s">
        <v>150</v>
      </c>
      <c r="B38" s="1">
        <v>45957</v>
      </c>
      <c r="C38" t="s">
        <v>151</v>
      </c>
      <c r="D38" t="s">
        <v>152</v>
      </c>
      <c r="E38" t="s">
        <v>118</v>
      </c>
      <c r="F38" t="s">
        <v>25</v>
      </c>
      <c r="G38" t="s">
        <v>26</v>
      </c>
      <c r="H38" t="s">
        <v>153</v>
      </c>
      <c r="I38">
        <v>5</v>
      </c>
      <c r="J38">
        <v>4200</v>
      </c>
      <c r="K38">
        <v>0</v>
      </c>
      <c r="L38">
        <v>1000</v>
      </c>
      <c r="M38" t="s">
        <v>20</v>
      </c>
      <c r="N38">
        <f t="shared" si="3"/>
        <v>21000</v>
      </c>
      <c r="O38">
        <f t="shared" si="0"/>
        <v>16000</v>
      </c>
      <c r="P38">
        <f t="shared" si="1"/>
        <v>9165095</v>
      </c>
      <c r="Q38">
        <f t="shared" si="2"/>
        <v>7051445</v>
      </c>
    </row>
    <row r="39" spans="1:17">
      <c r="A39" t="s">
        <v>154</v>
      </c>
      <c r="B39" s="1">
        <v>45851</v>
      </c>
      <c r="C39" t="s">
        <v>78</v>
      </c>
      <c r="D39" t="s">
        <v>155</v>
      </c>
      <c r="E39" t="s">
        <v>32</v>
      </c>
      <c r="F39" t="s">
        <v>33</v>
      </c>
      <c r="G39" t="s">
        <v>18</v>
      </c>
      <c r="H39" t="s">
        <v>76</v>
      </c>
      <c r="I39">
        <v>2</v>
      </c>
      <c r="J39">
        <v>850</v>
      </c>
      <c r="K39">
        <v>0.1</v>
      </c>
      <c r="L39">
        <v>250</v>
      </c>
      <c r="M39" t="s">
        <v>48</v>
      </c>
      <c r="N39">
        <f t="shared" si="3"/>
        <v>1530</v>
      </c>
      <c r="O39">
        <f t="shared" si="0"/>
        <v>1030</v>
      </c>
      <c r="P39">
        <f t="shared" si="1"/>
        <v>9144095</v>
      </c>
      <c r="Q39">
        <f t="shared" si="2"/>
        <v>7035445</v>
      </c>
    </row>
    <row r="40" spans="1:17">
      <c r="A40" t="s">
        <v>156</v>
      </c>
      <c r="B40" s="1">
        <v>45900</v>
      </c>
      <c r="C40" t="s">
        <v>157</v>
      </c>
      <c r="D40" t="s">
        <v>158</v>
      </c>
      <c r="E40" t="s">
        <v>84</v>
      </c>
      <c r="F40" t="s">
        <v>17</v>
      </c>
      <c r="G40" t="s">
        <v>26</v>
      </c>
      <c r="H40" t="s">
        <v>159</v>
      </c>
      <c r="I40">
        <v>4</v>
      </c>
      <c r="J40">
        <v>8500</v>
      </c>
      <c r="K40">
        <v>0</v>
      </c>
      <c r="L40">
        <v>2100</v>
      </c>
      <c r="M40" t="s">
        <v>20</v>
      </c>
      <c r="N40">
        <f t="shared" si="3"/>
        <v>34000</v>
      </c>
      <c r="O40">
        <f t="shared" si="0"/>
        <v>25600</v>
      </c>
      <c r="P40">
        <f t="shared" si="1"/>
        <v>9142565</v>
      </c>
      <c r="Q40">
        <f t="shared" si="2"/>
        <v>7034415</v>
      </c>
    </row>
    <row r="41" spans="1:17">
      <c r="A41" t="s">
        <v>160</v>
      </c>
      <c r="B41" s="1">
        <v>45724</v>
      </c>
      <c r="C41" t="s">
        <v>149</v>
      </c>
      <c r="D41" t="s">
        <v>161</v>
      </c>
      <c r="E41" t="s">
        <v>16</v>
      </c>
      <c r="F41" t="s">
        <v>25</v>
      </c>
      <c r="G41" t="s">
        <v>18</v>
      </c>
      <c r="H41" t="s">
        <v>136</v>
      </c>
      <c r="I41">
        <v>3</v>
      </c>
      <c r="J41">
        <v>2800</v>
      </c>
      <c r="K41">
        <v>0.1</v>
      </c>
      <c r="L41">
        <v>750</v>
      </c>
      <c r="M41" t="s">
        <v>20</v>
      </c>
      <c r="N41">
        <f t="shared" si="3"/>
        <v>7560</v>
      </c>
      <c r="O41">
        <f t="shared" si="0"/>
        <v>5310</v>
      </c>
      <c r="P41">
        <f t="shared" si="1"/>
        <v>9108565</v>
      </c>
      <c r="Q41">
        <f t="shared" si="2"/>
        <v>7008815</v>
      </c>
    </row>
    <row r="42" spans="1:17">
      <c r="A42" t="s">
        <v>162</v>
      </c>
      <c r="B42" s="1">
        <v>45702</v>
      </c>
      <c r="C42" t="s">
        <v>163</v>
      </c>
      <c r="D42" t="s">
        <v>164</v>
      </c>
      <c r="E42" t="s">
        <v>16</v>
      </c>
      <c r="F42" t="s">
        <v>33</v>
      </c>
      <c r="G42" t="s">
        <v>34</v>
      </c>
      <c r="H42" t="s">
        <v>56</v>
      </c>
      <c r="I42">
        <v>4</v>
      </c>
      <c r="J42">
        <v>1800</v>
      </c>
      <c r="K42">
        <v>0</v>
      </c>
      <c r="L42">
        <v>650</v>
      </c>
      <c r="M42" t="s">
        <v>28</v>
      </c>
      <c r="N42">
        <f t="shared" si="3"/>
        <v>7200</v>
      </c>
      <c r="O42">
        <f t="shared" si="0"/>
        <v>4600</v>
      </c>
      <c r="P42">
        <f t="shared" si="1"/>
        <v>9101005</v>
      </c>
      <c r="Q42">
        <f t="shared" si="2"/>
        <v>7003505</v>
      </c>
    </row>
    <row r="43" spans="1:17">
      <c r="A43" t="s">
        <v>165</v>
      </c>
      <c r="B43" s="1">
        <v>45675</v>
      </c>
      <c r="C43" t="s">
        <v>166</v>
      </c>
      <c r="D43" t="s">
        <v>167</v>
      </c>
      <c r="E43" t="s">
        <v>16</v>
      </c>
      <c r="F43" t="s">
        <v>17</v>
      </c>
      <c r="G43" t="s">
        <v>18</v>
      </c>
      <c r="H43" t="s">
        <v>85</v>
      </c>
      <c r="I43">
        <v>3</v>
      </c>
      <c r="J43">
        <v>350</v>
      </c>
      <c r="K43">
        <v>0.15</v>
      </c>
      <c r="L43">
        <v>100</v>
      </c>
      <c r="M43" t="s">
        <v>28</v>
      </c>
      <c r="N43">
        <f t="shared" si="3"/>
        <v>892.5</v>
      </c>
      <c r="O43">
        <f t="shared" si="0"/>
        <v>592.5</v>
      </c>
      <c r="P43">
        <f t="shared" si="1"/>
        <v>9093805</v>
      </c>
      <c r="Q43">
        <f t="shared" si="2"/>
        <v>6998905</v>
      </c>
    </row>
    <row r="44" spans="1:17">
      <c r="A44" t="s">
        <v>168</v>
      </c>
      <c r="B44" s="1">
        <v>45837</v>
      </c>
      <c r="C44" t="s">
        <v>151</v>
      </c>
      <c r="D44" t="s">
        <v>141</v>
      </c>
      <c r="E44" t="s">
        <v>118</v>
      </c>
      <c r="F44" t="s">
        <v>17</v>
      </c>
      <c r="G44" t="s">
        <v>34</v>
      </c>
      <c r="H44" t="s">
        <v>56</v>
      </c>
      <c r="I44">
        <v>3</v>
      </c>
      <c r="J44">
        <v>1800</v>
      </c>
      <c r="K44">
        <v>0.15</v>
      </c>
      <c r="L44">
        <v>650</v>
      </c>
      <c r="M44" t="s">
        <v>48</v>
      </c>
      <c r="N44">
        <f t="shared" si="3"/>
        <v>4590</v>
      </c>
      <c r="O44">
        <f t="shared" si="0"/>
        <v>2640</v>
      </c>
      <c r="P44">
        <f t="shared" si="1"/>
        <v>9092912.5</v>
      </c>
      <c r="Q44">
        <f t="shared" si="2"/>
        <v>6998312.5</v>
      </c>
    </row>
    <row r="45" spans="1:17">
      <c r="A45" t="s">
        <v>169</v>
      </c>
      <c r="B45" s="1">
        <v>45910</v>
      </c>
      <c r="C45" t="s">
        <v>170</v>
      </c>
      <c r="D45" t="s">
        <v>171</v>
      </c>
      <c r="E45" t="s">
        <v>45</v>
      </c>
      <c r="F45" t="s">
        <v>17</v>
      </c>
      <c r="G45" t="s">
        <v>46</v>
      </c>
      <c r="H45" t="s">
        <v>96</v>
      </c>
      <c r="I45">
        <v>4</v>
      </c>
      <c r="J45">
        <v>3200</v>
      </c>
      <c r="K45">
        <v>0.05</v>
      </c>
      <c r="L45">
        <v>950</v>
      </c>
      <c r="M45" t="s">
        <v>48</v>
      </c>
      <c r="N45">
        <f t="shared" si="3"/>
        <v>12160</v>
      </c>
      <c r="O45">
        <f t="shared" si="0"/>
        <v>8360</v>
      </c>
      <c r="P45">
        <f t="shared" si="1"/>
        <v>9088322.5</v>
      </c>
      <c r="Q45">
        <f t="shared" si="2"/>
        <v>6995672.5</v>
      </c>
    </row>
    <row r="46" spans="1:17">
      <c r="A46" t="s">
        <v>172</v>
      </c>
      <c r="B46" s="1">
        <v>45943</v>
      </c>
      <c r="C46" t="s">
        <v>173</v>
      </c>
      <c r="D46" t="s">
        <v>174</v>
      </c>
      <c r="E46" t="s">
        <v>24</v>
      </c>
      <c r="F46" t="s">
        <v>17</v>
      </c>
      <c r="G46" t="s">
        <v>26</v>
      </c>
      <c r="H46" t="s">
        <v>27</v>
      </c>
      <c r="I46">
        <v>1</v>
      </c>
      <c r="J46">
        <v>22000</v>
      </c>
      <c r="K46">
        <v>0.15</v>
      </c>
      <c r="L46">
        <v>5000</v>
      </c>
      <c r="M46" t="s">
        <v>28</v>
      </c>
      <c r="N46">
        <f t="shared" si="3"/>
        <v>18700</v>
      </c>
      <c r="O46">
        <f t="shared" si="0"/>
        <v>13700</v>
      </c>
      <c r="P46">
        <f t="shared" si="1"/>
        <v>9076162.5</v>
      </c>
      <c r="Q46">
        <f t="shared" si="2"/>
        <v>6987312.5</v>
      </c>
    </row>
    <row r="47" spans="1:17">
      <c r="A47" t="s">
        <v>175</v>
      </c>
      <c r="B47" s="1">
        <v>45884</v>
      </c>
      <c r="C47" t="s">
        <v>176</v>
      </c>
      <c r="D47" t="s">
        <v>177</v>
      </c>
      <c r="E47" t="s">
        <v>16</v>
      </c>
      <c r="F47" t="s">
        <v>17</v>
      </c>
      <c r="G47" t="s">
        <v>18</v>
      </c>
      <c r="H47" t="s">
        <v>70</v>
      </c>
      <c r="I47">
        <v>2</v>
      </c>
      <c r="J47">
        <v>2400</v>
      </c>
      <c r="K47">
        <v>0.15</v>
      </c>
      <c r="L47">
        <v>650</v>
      </c>
      <c r="M47" t="s">
        <v>28</v>
      </c>
      <c r="N47">
        <f t="shared" si="3"/>
        <v>4080</v>
      </c>
      <c r="O47">
        <f t="shared" si="0"/>
        <v>2780</v>
      </c>
      <c r="P47">
        <f t="shared" si="1"/>
        <v>9057462.5</v>
      </c>
      <c r="Q47">
        <f t="shared" si="2"/>
        <v>6973612.5</v>
      </c>
    </row>
    <row r="48" spans="1:17">
      <c r="A48" t="s">
        <v>178</v>
      </c>
      <c r="B48" s="1">
        <v>45770</v>
      </c>
      <c r="C48" t="s">
        <v>179</v>
      </c>
      <c r="D48" t="s">
        <v>180</v>
      </c>
      <c r="E48" t="s">
        <v>16</v>
      </c>
      <c r="F48" t="s">
        <v>33</v>
      </c>
      <c r="G48" t="s">
        <v>34</v>
      </c>
      <c r="H48" t="s">
        <v>41</v>
      </c>
      <c r="I48">
        <v>2</v>
      </c>
      <c r="J48">
        <v>52000</v>
      </c>
      <c r="K48">
        <v>0.1</v>
      </c>
      <c r="L48">
        <v>9000</v>
      </c>
      <c r="M48" t="s">
        <v>28</v>
      </c>
      <c r="N48">
        <f t="shared" si="3"/>
        <v>93600</v>
      </c>
      <c r="O48">
        <f t="shared" si="0"/>
        <v>75600</v>
      </c>
      <c r="P48">
        <f t="shared" si="1"/>
        <v>9053382.5</v>
      </c>
      <c r="Q48">
        <f t="shared" si="2"/>
        <v>6970832.5</v>
      </c>
    </row>
    <row r="49" spans="1:17">
      <c r="A49" t="s">
        <v>181</v>
      </c>
      <c r="B49" s="1">
        <v>45703</v>
      </c>
      <c r="C49" t="s">
        <v>182</v>
      </c>
      <c r="D49" t="s">
        <v>183</v>
      </c>
      <c r="E49" t="s">
        <v>84</v>
      </c>
      <c r="F49" t="s">
        <v>17</v>
      </c>
      <c r="G49" t="s">
        <v>46</v>
      </c>
      <c r="H49" t="s">
        <v>80</v>
      </c>
      <c r="I49">
        <v>1</v>
      </c>
      <c r="J49">
        <v>1900</v>
      </c>
      <c r="K49">
        <v>0.1</v>
      </c>
      <c r="L49">
        <v>600</v>
      </c>
      <c r="M49" t="s">
        <v>48</v>
      </c>
      <c r="N49">
        <f t="shared" si="3"/>
        <v>1710</v>
      </c>
      <c r="O49">
        <f t="shared" si="0"/>
        <v>1110</v>
      </c>
      <c r="P49">
        <f t="shared" si="1"/>
        <v>8959782.5</v>
      </c>
      <c r="Q49">
        <f t="shared" si="2"/>
        <v>6895232.5</v>
      </c>
    </row>
    <row r="50" spans="1:17">
      <c r="A50" t="s">
        <v>184</v>
      </c>
      <c r="B50" s="1">
        <v>45705</v>
      </c>
      <c r="C50" t="s">
        <v>30</v>
      </c>
      <c r="D50" t="s">
        <v>185</v>
      </c>
      <c r="E50" t="s">
        <v>84</v>
      </c>
      <c r="F50" t="s">
        <v>33</v>
      </c>
      <c r="G50" t="s">
        <v>46</v>
      </c>
      <c r="H50" t="s">
        <v>96</v>
      </c>
      <c r="I50">
        <v>1</v>
      </c>
      <c r="J50">
        <v>3200</v>
      </c>
      <c r="K50">
        <v>0.1</v>
      </c>
      <c r="L50">
        <v>950</v>
      </c>
      <c r="M50" t="s">
        <v>28</v>
      </c>
      <c r="N50">
        <f t="shared" si="3"/>
        <v>2880</v>
      </c>
      <c r="O50">
        <f t="shared" si="0"/>
        <v>1930</v>
      </c>
      <c r="P50">
        <f t="shared" si="1"/>
        <v>8958072.5</v>
      </c>
      <c r="Q50">
        <f t="shared" si="2"/>
        <v>6894122.5</v>
      </c>
    </row>
    <row r="51" spans="1:17">
      <c r="A51" t="s">
        <v>186</v>
      </c>
      <c r="B51" s="1">
        <v>46004</v>
      </c>
      <c r="C51" t="s">
        <v>114</v>
      </c>
      <c r="D51" t="s">
        <v>187</v>
      </c>
      <c r="E51" t="s">
        <v>45</v>
      </c>
      <c r="F51" t="s">
        <v>25</v>
      </c>
      <c r="G51" t="s">
        <v>34</v>
      </c>
      <c r="H51" t="s">
        <v>106</v>
      </c>
      <c r="I51">
        <v>2</v>
      </c>
      <c r="J51">
        <v>650</v>
      </c>
      <c r="K51">
        <v>0</v>
      </c>
      <c r="L51">
        <v>200</v>
      </c>
      <c r="M51" t="s">
        <v>28</v>
      </c>
      <c r="N51">
        <f t="shared" si="3"/>
        <v>1300</v>
      </c>
      <c r="O51">
        <f t="shared" si="0"/>
        <v>900</v>
      </c>
      <c r="P51">
        <f t="shared" si="1"/>
        <v>8955192.5</v>
      </c>
      <c r="Q51">
        <f t="shared" si="2"/>
        <v>6892192.5</v>
      </c>
    </row>
    <row r="52" spans="1:17">
      <c r="A52" t="s">
        <v>188</v>
      </c>
      <c r="B52" s="1">
        <v>45713</v>
      </c>
      <c r="C52" t="s">
        <v>189</v>
      </c>
      <c r="D52" t="s">
        <v>190</v>
      </c>
      <c r="E52" t="s">
        <v>84</v>
      </c>
      <c r="F52" t="s">
        <v>40</v>
      </c>
      <c r="G52" t="s">
        <v>26</v>
      </c>
      <c r="H52" t="s">
        <v>153</v>
      </c>
      <c r="I52">
        <v>4</v>
      </c>
      <c r="J52">
        <v>4200</v>
      </c>
      <c r="K52">
        <v>0</v>
      </c>
      <c r="L52">
        <v>1000</v>
      </c>
      <c r="M52" t="s">
        <v>48</v>
      </c>
      <c r="N52">
        <f t="shared" si="3"/>
        <v>16800</v>
      </c>
      <c r="O52">
        <f t="shared" si="0"/>
        <v>12800</v>
      </c>
      <c r="P52">
        <f t="shared" si="1"/>
        <v>8953892.5</v>
      </c>
      <c r="Q52">
        <f t="shared" si="2"/>
        <v>6891292.5</v>
      </c>
    </row>
    <row r="53" spans="1:17">
      <c r="A53" t="s">
        <v>191</v>
      </c>
      <c r="B53" s="1">
        <v>45914</v>
      </c>
      <c r="C53" t="s">
        <v>192</v>
      </c>
      <c r="D53" t="s">
        <v>193</v>
      </c>
      <c r="E53" t="s">
        <v>39</v>
      </c>
      <c r="F53" t="s">
        <v>25</v>
      </c>
      <c r="G53" t="s">
        <v>46</v>
      </c>
      <c r="H53" t="s">
        <v>80</v>
      </c>
      <c r="I53">
        <v>2</v>
      </c>
      <c r="J53">
        <v>1900</v>
      </c>
      <c r="K53">
        <v>0.15</v>
      </c>
      <c r="L53">
        <v>600</v>
      </c>
      <c r="M53" t="s">
        <v>48</v>
      </c>
      <c r="N53">
        <f t="shared" si="3"/>
        <v>3230</v>
      </c>
      <c r="O53">
        <f t="shared" si="0"/>
        <v>2030</v>
      </c>
      <c r="P53">
        <f t="shared" si="1"/>
        <v>8937092.5</v>
      </c>
      <c r="Q53">
        <f t="shared" si="2"/>
        <v>6878492.5</v>
      </c>
    </row>
    <row r="54" spans="1:17">
      <c r="A54" t="s">
        <v>194</v>
      </c>
      <c r="B54" s="1">
        <v>45766</v>
      </c>
      <c r="C54" t="s">
        <v>195</v>
      </c>
      <c r="D54" t="s">
        <v>196</v>
      </c>
      <c r="E54" t="s">
        <v>32</v>
      </c>
      <c r="F54" t="s">
        <v>40</v>
      </c>
      <c r="G54" t="s">
        <v>26</v>
      </c>
      <c r="H54" t="s">
        <v>153</v>
      </c>
      <c r="I54">
        <v>4</v>
      </c>
      <c r="J54">
        <v>4200</v>
      </c>
      <c r="K54">
        <v>0.05</v>
      </c>
      <c r="L54">
        <v>1000</v>
      </c>
      <c r="M54" t="s">
        <v>20</v>
      </c>
      <c r="N54">
        <f t="shared" si="3"/>
        <v>15960</v>
      </c>
      <c r="O54">
        <f t="shared" si="0"/>
        <v>11960</v>
      </c>
      <c r="P54">
        <f t="shared" si="1"/>
        <v>8933862.5</v>
      </c>
      <c r="Q54">
        <f t="shared" si="2"/>
        <v>6876462.5</v>
      </c>
    </row>
    <row r="55" spans="1:17">
      <c r="A55" t="s">
        <v>197</v>
      </c>
      <c r="B55" s="1">
        <v>45974</v>
      </c>
      <c r="C55" t="s">
        <v>43</v>
      </c>
      <c r="D55" t="s">
        <v>198</v>
      </c>
      <c r="E55" t="s">
        <v>118</v>
      </c>
      <c r="F55" t="s">
        <v>25</v>
      </c>
      <c r="G55" t="s">
        <v>18</v>
      </c>
      <c r="H55" t="s">
        <v>76</v>
      </c>
      <c r="I55">
        <v>3</v>
      </c>
      <c r="J55">
        <v>850</v>
      </c>
      <c r="K55">
        <v>0.1</v>
      </c>
      <c r="L55">
        <v>250</v>
      </c>
      <c r="M55" t="s">
        <v>20</v>
      </c>
      <c r="N55">
        <f t="shared" si="3"/>
        <v>2295</v>
      </c>
      <c r="O55">
        <f t="shared" si="0"/>
        <v>1545</v>
      </c>
      <c r="P55">
        <f t="shared" si="1"/>
        <v>8917902.5</v>
      </c>
      <c r="Q55">
        <f t="shared" si="2"/>
        <v>6864502.5</v>
      </c>
    </row>
    <row r="56" spans="1:17">
      <c r="A56" t="s">
        <v>199</v>
      </c>
      <c r="B56" s="1">
        <v>45877</v>
      </c>
      <c r="C56" t="s">
        <v>182</v>
      </c>
      <c r="D56" t="s">
        <v>200</v>
      </c>
      <c r="E56" t="s">
        <v>45</v>
      </c>
      <c r="F56" t="s">
        <v>17</v>
      </c>
      <c r="G56" t="s">
        <v>46</v>
      </c>
      <c r="H56" t="s">
        <v>47</v>
      </c>
      <c r="I56">
        <v>3</v>
      </c>
      <c r="J56">
        <v>550</v>
      </c>
      <c r="K56">
        <v>0.05</v>
      </c>
      <c r="L56">
        <v>180</v>
      </c>
      <c r="M56" t="s">
        <v>28</v>
      </c>
      <c r="N56">
        <f t="shared" si="3"/>
        <v>1567.5</v>
      </c>
      <c r="O56">
        <f t="shared" si="0"/>
        <v>1027.5</v>
      </c>
      <c r="P56">
        <f t="shared" si="1"/>
        <v>8915607.5</v>
      </c>
      <c r="Q56">
        <f t="shared" si="2"/>
        <v>6862957.5</v>
      </c>
    </row>
    <row r="57" spans="1:17">
      <c r="A57" t="s">
        <v>201</v>
      </c>
      <c r="B57" s="1">
        <v>45841</v>
      </c>
      <c r="C57" t="s">
        <v>202</v>
      </c>
      <c r="D57" t="s">
        <v>203</v>
      </c>
      <c r="E57" t="s">
        <v>52</v>
      </c>
      <c r="F57" t="s">
        <v>25</v>
      </c>
      <c r="G57" t="s">
        <v>46</v>
      </c>
      <c r="H57" t="s">
        <v>80</v>
      </c>
      <c r="I57">
        <v>3</v>
      </c>
      <c r="J57">
        <v>1900</v>
      </c>
      <c r="K57">
        <v>0</v>
      </c>
      <c r="L57">
        <v>600</v>
      </c>
      <c r="M57" t="s">
        <v>48</v>
      </c>
      <c r="N57">
        <f t="shared" si="3"/>
        <v>5700</v>
      </c>
      <c r="O57">
        <f t="shared" si="0"/>
        <v>3900</v>
      </c>
      <c r="P57">
        <f t="shared" si="1"/>
        <v>8914040</v>
      </c>
      <c r="Q57">
        <f t="shared" si="2"/>
        <v>6861930</v>
      </c>
    </row>
    <row r="58" spans="1:17">
      <c r="A58" t="s">
        <v>204</v>
      </c>
      <c r="B58" s="1">
        <v>45670</v>
      </c>
      <c r="C58" t="s">
        <v>98</v>
      </c>
      <c r="D58" t="s">
        <v>205</v>
      </c>
      <c r="E58" t="s">
        <v>39</v>
      </c>
      <c r="F58" t="s">
        <v>40</v>
      </c>
      <c r="G58" t="s">
        <v>18</v>
      </c>
      <c r="H58" t="s">
        <v>76</v>
      </c>
      <c r="I58">
        <v>1</v>
      </c>
      <c r="J58">
        <v>850</v>
      </c>
      <c r="K58">
        <v>0</v>
      </c>
      <c r="L58">
        <v>250</v>
      </c>
      <c r="M58" t="s">
        <v>28</v>
      </c>
      <c r="N58">
        <f t="shared" si="3"/>
        <v>850</v>
      </c>
      <c r="O58">
        <f t="shared" si="0"/>
        <v>600</v>
      </c>
      <c r="P58">
        <f t="shared" si="1"/>
        <v>8908340</v>
      </c>
      <c r="Q58">
        <f t="shared" si="2"/>
        <v>6858030</v>
      </c>
    </row>
    <row r="59" spans="1:17">
      <c r="A59" t="s">
        <v>206</v>
      </c>
      <c r="B59" s="1">
        <v>45850</v>
      </c>
      <c r="C59" t="s">
        <v>207</v>
      </c>
      <c r="D59" t="s">
        <v>208</v>
      </c>
      <c r="E59" t="s">
        <v>24</v>
      </c>
      <c r="F59" t="s">
        <v>17</v>
      </c>
      <c r="G59" t="s">
        <v>34</v>
      </c>
      <c r="H59" t="s">
        <v>41</v>
      </c>
      <c r="I59">
        <v>2</v>
      </c>
      <c r="J59">
        <v>52000</v>
      </c>
      <c r="K59">
        <v>0.1</v>
      </c>
      <c r="L59">
        <v>9000</v>
      </c>
      <c r="M59" t="s">
        <v>48</v>
      </c>
      <c r="N59">
        <f t="shared" si="3"/>
        <v>93600</v>
      </c>
      <c r="O59">
        <f t="shared" si="0"/>
        <v>75600</v>
      </c>
      <c r="P59">
        <f t="shared" si="1"/>
        <v>8907490</v>
      </c>
      <c r="Q59">
        <f t="shared" si="2"/>
        <v>6857430</v>
      </c>
    </row>
    <row r="60" spans="1:17">
      <c r="A60" t="s">
        <v>209</v>
      </c>
      <c r="B60" s="1">
        <v>45968</v>
      </c>
      <c r="C60" t="s">
        <v>210</v>
      </c>
      <c r="D60" t="s">
        <v>211</v>
      </c>
      <c r="E60" t="s">
        <v>39</v>
      </c>
      <c r="F60" t="s">
        <v>40</v>
      </c>
      <c r="G60" t="s">
        <v>26</v>
      </c>
      <c r="H60" t="s">
        <v>159</v>
      </c>
      <c r="I60">
        <v>2</v>
      </c>
      <c r="J60">
        <v>8500</v>
      </c>
      <c r="K60">
        <v>0</v>
      </c>
      <c r="L60">
        <v>2100</v>
      </c>
      <c r="M60" t="s">
        <v>20</v>
      </c>
      <c r="N60">
        <f t="shared" si="3"/>
        <v>17000</v>
      </c>
      <c r="O60">
        <f t="shared" si="0"/>
        <v>12800</v>
      </c>
      <c r="P60">
        <f t="shared" si="1"/>
        <v>8813890</v>
      </c>
      <c r="Q60">
        <f t="shared" si="2"/>
        <v>6781830</v>
      </c>
    </row>
    <row r="61" spans="1:17">
      <c r="A61" t="s">
        <v>212</v>
      </c>
      <c r="B61" s="1">
        <v>45898</v>
      </c>
      <c r="C61" t="s">
        <v>213</v>
      </c>
      <c r="D61" t="s">
        <v>91</v>
      </c>
      <c r="E61" t="s">
        <v>118</v>
      </c>
      <c r="F61" t="s">
        <v>25</v>
      </c>
      <c r="G61" t="s">
        <v>18</v>
      </c>
      <c r="H61" t="s">
        <v>19</v>
      </c>
      <c r="I61">
        <v>3</v>
      </c>
      <c r="J61">
        <v>1200</v>
      </c>
      <c r="K61">
        <v>0.1</v>
      </c>
      <c r="L61">
        <v>350</v>
      </c>
      <c r="M61" t="s">
        <v>48</v>
      </c>
      <c r="N61">
        <f t="shared" si="3"/>
        <v>3240</v>
      </c>
      <c r="O61">
        <f t="shared" si="0"/>
        <v>2190</v>
      </c>
      <c r="P61">
        <f t="shared" si="1"/>
        <v>8796890</v>
      </c>
      <c r="Q61">
        <f t="shared" si="2"/>
        <v>6769030</v>
      </c>
    </row>
    <row r="62" spans="1:17">
      <c r="A62" t="s">
        <v>214</v>
      </c>
      <c r="B62" s="1">
        <v>45922</v>
      </c>
      <c r="C62" t="s">
        <v>111</v>
      </c>
      <c r="D62" t="s">
        <v>215</v>
      </c>
      <c r="E62" t="s">
        <v>52</v>
      </c>
      <c r="F62" t="s">
        <v>40</v>
      </c>
      <c r="G62" t="s">
        <v>26</v>
      </c>
      <c r="H62" t="s">
        <v>153</v>
      </c>
      <c r="I62">
        <v>1</v>
      </c>
      <c r="J62">
        <v>4200</v>
      </c>
      <c r="K62">
        <v>0.05</v>
      </c>
      <c r="L62">
        <v>1000</v>
      </c>
      <c r="M62" t="s">
        <v>48</v>
      </c>
      <c r="N62">
        <f t="shared" si="3"/>
        <v>3990</v>
      </c>
      <c r="O62">
        <f t="shared" si="0"/>
        <v>2990</v>
      </c>
      <c r="P62">
        <f t="shared" si="1"/>
        <v>8793650</v>
      </c>
      <c r="Q62">
        <f t="shared" si="2"/>
        <v>6766840</v>
      </c>
    </row>
    <row r="63" spans="1:17">
      <c r="A63" t="s">
        <v>216</v>
      </c>
      <c r="B63" s="1">
        <v>45740</v>
      </c>
      <c r="C63" t="s">
        <v>217</v>
      </c>
      <c r="D63" t="s">
        <v>141</v>
      </c>
      <c r="E63" t="s">
        <v>32</v>
      </c>
      <c r="F63" t="s">
        <v>17</v>
      </c>
      <c r="G63" t="s">
        <v>18</v>
      </c>
      <c r="H63" t="s">
        <v>136</v>
      </c>
      <c r="I63">
        <v>4</v>
      </c>
      <c r="J63">
        <v>2800</v>
      </c>
      <c r="K63">
        <v>0.05</v>
      </c>
      <c r="L63">
        <v>750</v>
      </c>
      <c r="M63" t="s">
        <v>20</v>
      </c>
      <c r="N63">
        <f t="shared" si="3"/>
        <v>10640</v>
      </c>
      <c r="O63">
        <f t="shared" si="0"/>
        <v>7640</v>
      </c>
      <c r="P63">
        <f t="shared" si="1"/>
        <v>8789660</v>
      </c>
      <c r="Q63">
        <f t="shared" si="2"/>
        <v>6763850</v>
      </c>
    </row>
    <row r="64" spans="1:17">
      <c r="A64" t="s">
        <v>218</v>
      </c>
      <c r="B64" s="1">
        <v>45839</v>
      </c>
      <c r="C64" t="s">
        <v>219</v>
      </c>
      <c r="D64" t="s">
        <v>83</v>
      </c>
      <c r="E64" t="s">
        <v>32</v>
      </c>
      <c r="F64" t="s">
        <v>25</v>
      </c>
      <c r="G64" t="s">
        <v>46</v>
      </c>
      <c r="H64" t="s">
        <v>47</v>
      </c>
      <c r="I64">
        <v>1</v>
      </c>
      <c r="J64">
        <v>550</v>
      </c>
      <c r="K64">
        <v>0</v>
      </c>
      <c r="L64">
        <v>180</v>
      </c>
      <c r="M64" t="s">
        <v>20</v>
      </c>
      <c r="N64">
        <f t="shared" si="3"/>
        <v>550</v>
      </c>
      <c r="O64">
        <f t="shared" si="0"/>
        <v>370</v>
      </c>
      <c r="P64">
        <f t="shared" si="1"/>
        <v>8779020</v>
      </c>
      <c r="Q64">
        <f t="shared" si="2"/>
        <v>6756210</v>
      </c>
    </row>
    <row r="65" spans="1:17">
      <c r="A65" t="s">
        <v>220</v>
      </c>
      <c r="B65" s="1">
        <v>45868</v>
      </c>
      <c r="C65" t="s">
        <v>221</v>
      </c>
      <c r="D65" t="s">
        <v>155</v>
      </c>
      <c r="E65" t="s">
        <v>84</v>
      </c>
      <c r="F65" t="s">
        <v>17</v>
      </c>
      <c r="G65" t="s">
        <v>34</v>
      </c>
      <c r="H65" t="s">
        <v>53</v>
      </c>
      <c r="I65">
        <v>1</v>
      </c>
      <c r="J65">
        <v>950</v>
      </c>
      <c r="K65">
        <v>0.1</v>
      </c>
      <c r="L65">
        <v>300</v>
      </c>
      <c r="M65" t="s">
        <v>20</v>
      </c>
      <c r="N65">
        <f t="shared" si="3"/>
        <v>855</v>
      </c>
      <c r="O65">
        <f t="shared" si="0"/>
        <v>555</v>
      </c>
      <c r="P65">
        <f t="shared" si="1"/>
        <v>8778470</v>
      </c>
      <c r="Q65">
        <f t="shared" si="2"/>
        <v>6755840</v>
      </c>
    </row>
    <row r="66" spans="1:17">
      <c r="A66" t="s">
        <v>222</v>
      </c>
      <c r="B66" s="1">
        <v>45803</v>
      </c>
      <c r="C66" t="s">
        <v>111</v>
      </c>
      <c r="D66" t="s">
        <v>223</v>
      </c>
      <c r="E66" t="s">
        <v>45</v>
      </c>
      <c r="F66" t="s">
        <v>25</v>
      </c>
      <c r="G66" t="s">
        <v>34</v>
      </c>
      <c r="H66" t="s">
        <v>41</v>
      </c>
      <c r="I66">
        <v>5</v>
      </c>
      <c r="J66">
        <v>52000</v>
      </c>
      <c r="K66">
        <v>0</v>
      </c>
      <c r="L66">
        <v>9000</v>
      </c>
      <c r="M66" t="s">
        <v>48</v>
      </c>
      <c r="N66">
        <f t="shared" ref="N66:N129" si="4">I66*J66*(1-K66)</f>
        <v>260000</v>
      </c>
      <c r="O66">
        <f t="shared" ref="O66:O129" si="5">N66-(L66*I66)</f>
        <v>215000</v>
      </c>
      <c r="P66">
        <f t="shared" ref="P66:P129" si="6">SUM(N66:N565)</f>
        <v>8777615</v>
      </c>
      <c r="Q66">
        <f t="shared" ref="Q66:Q129" si="7">SUM(O66:O565)</f>
        <v>6755285</v>
      </c>
    </row>
    <row r="67" spans="1:17">
      <c r="A67" t="s">
        <v>224</v>
      </c>
      <c r="B67" s="1">
        <v>45821</v>
      </c>
      <c r="C67" t="s">
        <v>225</v>
      </c>
      <c r="D67" t="s">
        <v>226</v>
      </c>
      <c r="E67" t="s">
        <v>84</v>
      </c>
      <c r="F67" t="s">
        <v>33</v>
      </c>
      <c r="G67" t="s">
        <v>26</v>
      </c>
      <c r="H67" t="s">
        <v>153</v>
      </c>
      <c r="I67">
        <v>2</v>
      </c>
      <c r="J67">
        <v>4200</v>
      </c>
      <c r="K67">
        <v>0.05</v>
      </c>
      <c r="L67">
        <v>1000</v>
      </c>
      <c r="M67" t="s">
        <v>28</v>
      </c>
      <c r="N67">
        <f t="shared" si="4"/>
        <v>7980</v>
      </c>
      <c r="O67">
        <f t="shared" si="5"/>
        <v>5980</v>
      </c>
      <c r="P67">
        <f t="shared" si="6"/>
        <v>8517615</v>
      </c>
      <c r="Q67">
        <f t="shared" si="7"/>
        <v>6540285</v>
      </c>
    </row>
    <row r="68" spans="1:17">
      <c r="A68" t="s">
        <v>227</v>
      </c>
      <c r="B68" s="1">
        <v>45964</v>
      </c>
      <c r="C68" t="s">
        <v>228</v>
      </c>
      <c r="D68" t="s">
        <v>229</v>
      </c>
      <c r="E68" t="s">
        <v>84</v>
      </c>
      <c r="F68" t="s">
        <v>33</v>
      </c>
      <c r="G68" t="s">
        <v>18</v>
      </c>
      <c r="H68" t="s">
        <v>70</v>
      </c>
      <c r="I68">
        <v>2</v>
      </c>
      <c r="J68">
        <v>2400</v>
      </c>
      <c r="K68">
        <v>0.15</v>
      </c>
      <c r="L68">
        <v>650</v>
      </c>
      <c r="M68" t="s">
        <v>28</v>
      </c>
      <c r="N68">
        <f t="shared" si="4"/>
        <v>4080</v>
      </c>
      <c r="O68">
        <f t="shared" si="5"/>
        <v>2780</v>
      </c>
      <c r="P68">
        <f t="shared" si="6"/>
        <v>8509635</v>
      </c>
      <c r="Q68">
        <f t="shared" si="7"/>
        <v>6534305</v>
      </c>
    </row>
    <row r="69" spans="1:17">
      <c r="A69" t="s">
        <v>230</v>
      </c>
      <c r="B69" s="1">
        <v>45825</v>
      </c>
      <c r="C69" t="s">
        <v>231</v>
      </c>
      <c r="D69" t="s">
        <v>232</v>
      </c>
      <c r="E69" t="s">
        <v>16</v>
      </c>
      <c r="F69" t="s">
        <v>17</v>
      </c>
      <c r="G69" t="s">
        <v>34</v>
      </c>
      <c r="H69" t="s">
        <v>106</v>
      </c>
      <c r="I69">
        <v>3</v>
      </c>
      <c r="J69">
        <v>650</v>
      </c>
      <c r="K69">
        <v>0</v>
      </c>
      <c r="L69">
        <v>200</v>
      </c>
      <c r="M69" t="s">
        <v>20</v>
      </c>
      <c r="N69">
        <f t="shared" si="4"/>
        <v>1950</v>
      </c>
      <c r="O69">
        <f t="shared" si="5"/>
        <v>1350</v>
      </c>
      <c r="P69">
        <f t="shared" si="6"/>
        <v>8505555</v>
      </c>
      <c r="Q69">
        <f t="shared" si="7"/>
        <v>6531525</v>
      </c>
    </row>
    <row r="70" spans="1:17">
      <c r="A70" t="s">
        <v>233</v>
      </c>
      <c r="B70" s="1">
        <v>45766</v>
      </c>
      <c r="C70" t="s">
        <v>213</v>
      </c>
      <c r="D70" t="s">
        <v>234</v>
      </c>
      <c r="E70" t="s">
        <v>39</v>
      </c>
      <c r="F70" t="s">
        <v>40</v>
      </c>
      <c r="G70" t="s">
        <v>46</v>
      </c>
      <c r="H70" t="s">
        <v>80</v>
      </c>
      <c r="I70">
        <v>1</v>
      </c>
      <c r="J70">
        <v>1900</v>
      </c>
      <c r="K70">
        <v>0.15</v>
      </c>
      <c r="L70">
        <v>600</v>
      </c>
      <c r="M70" t="s">
        <v>28</v>
      </c>
      <c r="N70">
        <f t="shared" si="4"/>
        <v>1615</v>
      </c>
      <c r="O70">
        <f t="shared" si="5"/>
        <v>1015</v>
      </c>
      <c r="P70">
        <f t="shared" si="6"/>
        <v>8503605</v>
      </c>
      <c r="Q70">
        <f t="shared" si="7"/>
        <v>6530175</v>
      </c>
    </row>
    <row r="71" spans="1:17">
      <c r="A71" t="s">
        <v>235</v>
      </c>
      <c r="B71" s="1">
        <v>45901</v>
      </c>
      <c r="C71" t="s">
        <v>82</v>
      </c>
      <c r="D71" t="s">
        <v>203</v>
      </c>
      <c r="E71" t="s">
        <v>32</v>
      </c>
      <c r="F71" t="s">
        <v>40</v>
      </c>
      <c r="G71" t="s">
        <v>18</v>
      </c>
      <c r="H71" t="s">
        <v>19</v>
      </c>
      <c r="I71">
        <v>2</v>
      </c>
      <c r="J71">
        <v>1200</v>
      </c>
      <c r="K71">
        <v>0.1</v>
      </c>
      <c r="L71">
        <v>350</v>
      </c>
      <c r="M71" t="s">
        <v>20</v>
      </c>
      <c r="N71">
        <f t="shared" si="4"/>
        <v>2160</v>
      </c>
      <c r="O71">
        <f t="shared" si="5"/>
        <v>1460</v>
      </c>
      <c r="P71">
        <f t="shared" si="6"/>
        <v>8501990</v>
      </c>
      <c r="Q71">
        <f t="shared" si="7"/>
        <v>6529160</v>
      </c>
    </row>
    <row r="72" spans="1:17">
      <c r="A72" t="s">
        <v>236</v>
      </c>
      <c r="B72" s="1">
        <v>45986</v>
      </c>
      <c r="C72" t="s">
        <v>237</v>
      </c>
      <c r="D72" t="s">
        <v>238</v>
      </c>
      <c r="E72" t="s">
        <v>32</v>
      </c>
      <c r="F72" t="s">
        <v>40</v>
      </c>
      <c r="G72" t="s">
        <v>26</v>
      </c>
      <c r="H72" t="s">
        <v>92</v>
      </c>
      <c r="I72">
        <v>2</v>
      </c>
      <c r="J72">
        <v>15000</v>
      </c>
      <c r="K72">
        <v>0.15</v>
      </c>
      <c r="L72">
        <v>3500</v>
      </c>
      <c r="M72" t="s">
        <v>48</v>
      </c>
      <c r="N72">
        <f t="shared" si="4"/>
        <v>25500</v>
      </c>
      <c r="O72">
        <f t="shared" si="5"/>
        <v>18500</v>
      </c>
      <c r="P72">
        <f t="shared" si="6"/>
        <v>8499830</v>
      </c>
      <c r="Q72">
        <f t="shared" si="7"/>
        <v>6527700</v>
      </c>
    </row>
    <row r="73" spans="1:17">
      <c r="A73" t="s">
        <v>239</v>
      </c>
      <c r="B73" s="1">
        <v>45888</v>
      </c>
      <c r="C73" t="s">
        <v>240</v>
      </c>
      <c r="D73" t="s">
        <v>241</v>
      </c>
      <c r="E73" t="s">
        <v>52</v>
      </c>
      <c r="F73" t="s">
        <v>33</v>
      </c>
      <c r="G73" t="s">
        <v>46</v>
      </c>
      <c r="H73" t="s">
        <v>80</v>
      </c>
      <c r="I73">
        <v>2</v>
      </c>
      <c r="J73">
        <v>1900</v>
      </c>
      <c r="K73">
        <v>0.05</v>
      </c>
      <c r="L73">
        <v>600</v>
      </c>
      <c r="M73" t="s">
        <v>48</v>
      </c>
      <c r="N73">
        <f t="shared" si="4"/>
        <v>3610</v>
      </c>
      <c r="O73">
        <f t="shared" si="5"/>
        <v>2410</v>
      </c>
      <c r="P73">
        <f t="shared" si="6"/>
        <v>8474330</v>
      </c>
      <c r="Q73">
        <f t="shared" si="7"/>
        <v>6509200</v>
      </c>
    </row>
    <row r="74" spans="1:17">
      <c r="A74" t="s">
        <v>242</v>
      </c>
      <c r="B74" s="1">
        <v>45856</v>
      </c>
      <c r="C74" t="s">
        <v>68</v>
      </c>
      <c r="D74" t="s">
        <v>243</v>
      </c>
      <c r="E74" t="s">
        <v>39</v>
      </c>
      <c r="F74" t="s">
        <v>40</v>
      </c>
      <c r="G74" t="s">
        <v>34</v>
      </c>
      <c r="H74" t="s">
        <v>53</v>
      </c>
      <c r="I74">
        <v>3</v>
      </c>
      <c r="J74">
        <v>950</v>
      </c>
      <c r="K74">
        <v>0.1</v>
      </c>
      <c r="L74">
        <v>300</v>
      </c>
      <c r="M74" t="s">
        <v>28</v>
      </c>
      <c r="N74">
        <f t="shared" si="4"/>
        <v>2565</v>
      </c>
      <c r="O74">
        <f t="shared" si="5"/>
        <v>1665</v>
      </c>
      <c r="P74">
        <f t="shared" si="6"/>
        <v>8470720</v>
      </c>
      <c r="Q74">
        <f t="shared" si="7"/>
        <v>6506790</v>
      </c>
    </row>
    <row r="75" spans="1:17">
      <c r="A75" t="s">
        <v>244</v>
      </c>
      <c r="B75" s="1">
        <v>45905</v>
      </c>
      <c r="C75" t="s">
        <v>245</v>
      </c>
      <c r="D75" t="s">
        <v>132</v>
      </c>
      <c r="E75" t="s">
        <v>52</v>
      </c>
      <c r="F75" t="s">
        <v>33</v>
      </c>
      <c r="G75" t="s">
        <v>46</v>
      </c>
      <c r="H75" t="s">
        <v>47</v>
      </c>
      <c r="I75">
        <v>2</v>
      </c>
      <c r="J75">
        <v>550</v>
      </c>
      <c r="K75">
        <v>0</v>
      </c>
      <c r="L75">
        <v>180</v>
      </c>
      <c r="M75" t="s">
        <v>28</v>
      </c>
      <c r="N75">
        <f t="shared" si="4"/>
        <v>1100</v>
      </c>
      <c r="O75">
        <f t="shared" si="5"/>
        <v>740</v>
      </c>
      <c r="P75">
        <f t="shared" si="6"/>
        <v>8468155</v>
      </c>
      <c r="Q75">
        <f t="shared" si="7"/>
        <v>6505125</v>
      </c>
    </row>
    <row r="76" spans="1:17">
      <c r="A76" t="s">
        <v>246</v>
      </c>
      <c r="B76" s="1">
        <v>45784</v>
      </c>
      <c r="C76" t="s">
        <v>247</v>
      </c>
      <c r="D76" t="s">
        <v>248</v>
      </c>
      <c r="E76" t="s">
        <v>118</v>
      </c>
      <c r="F76" t="s">
        <v>40</v>
      </c>
      <c r="G76" t="s">
        <v>46</v>
      </c>
      <c r="H76" t="s">
        <v>60</v>
      </c>
      <c r="I76">
        <v>2</v>
      </c>
      <c r="J76">
        <v>2600</v>
      </c>
      <c r="K76">
        <v>0</v>
      </c>
      <c r="L76">
        <v>800</v>
      </c>
      <c r="M76" t="s">
        <v>20</v>
      </c>
      <c r="N76">
        <f t="shared" si="4"/>
        <v>5200</v>
      </c>
      <c r="O76">
        <f t="shared" si="5"/>
        <v>3600</v>
      </c>
      <c r="P76">
        <f t="shared" si="6"/>
        <v>8467055</v>
      </c>
      <c r="Q76">
        <f t="shared" si="7"/>
        <v>6504385</v>
      </c>
    </row>
    <row r="77" spans="1:17">
      <c r="A77" t="s">
        <v>249</v>
      </c>
      <c r="B77" s="1">
        <v>45967</v>
      </c>
      <c r="C77" t="s">
        <v>250</v>
      </c>
      <c r="D77" t="s">
        <v>251</v>
      </c>
      <c r="E77" t="s">
        <v>16</v>
      </c>
      <c r="F77" t="s">
        <v>33</v>
      </c>
      <c r="G77" t="s">
        <v>18</v>
      </c>
      <c r="H77" t="s">
        <v>19</v>
      </c>
      <c r="I77">
        <v>5</v>
      </c>
      <c r="J77">
        <v>1200</v>
      </c>
      <c r="K77">
        <v>0</v>
      </c>
      <c r="L77">
        <v>350</v>
      </c>
      <c r="M77" t="s">
        <v>28</v>
      </c>
      <c r="N77">
        <f t="shared" si="4"/>
        <v>6000</v>
      </c>
      <c r="O77">
        <f t="shared" si="5"/>
        <v>4250</v>
      </c>
      <c r="P77">
        <f t="shared" si="6"/>
        <v>8461855</v>
      </c>
      <c r="Q77">
        <f t="shared" si="7"/>
        <v>6500785</v>
      </c>
    </row>
    <row r="78" spans="1:17">
      <c r="A78" t="s">
        <v>252</v>
      </c>
      <c r="B78" s="1">
        <v>45664</v>
      </c>
      <c r="C78" t="s">
        <v>253</v>
      </c>
      <c r="D78" t="s">
        <v>254</v>
      </c>
      <c r="E78" t="s">
        <v>32</v>
      </c>
      <c r="F78" t="s">
        <v>25</v>
      </c>
      <c r="G78" t="s">
        <v>34</v>
      </c>
      <c r="H78" t="s">
        <v>41</v>
      </c>
      <c r="I78">
        <v>3</v>
      </c>
      <c r="J78">
        <v>52000</v>
      </c>
      <c r="K78">
        <v>0.05</v>
      </c>
      <c r="L78">
        <v>9000</v>
      </c>
      <c r="M78" t="s">
        <v>28</v>
      </c>
      <c r="N78">
        <f t="shared" si="4"/>
        <v>148200</v>
      </c>
      <c r="O78">
        <f t="shared" si="5"/>
        <v>121200</v>
      </c>
      <c r="P78">
        <f t="shared" si="6"/>
        <v>8455855</v>
      </c>
      <c r="Q78">
        <f t="shared" si="7"/>
        <v>6496535</v>
      </c>
    </row>
    <row r="79" spans="1:17">
      <c r="A79" t="s">
        <v>255</v>
      </c>
      <c r="B79" s="1">
        <v>45972</v>
      </c>
      <c r="C79" t="s">
        <v>256</v>
      </c>
      <c r="D79" t="s">
        <v>234</v>
      </c>
      <c r="E79" t="s">
        <v>45</v>
      </c>
      <c r="F79" t="s">
        <v>25</v>
      </c>
      <c r="G79" t="s">
        <v>18</v>
      </c>
      <c r="H79" t="s">
        <v>136</v>
      </c>
      <c r="I79">
        <v>3</v>
      </c>
      <c r="J79">
        <v>2800</v>
      </c>
      <c r="K79">
        <v>0</v>
      </c>
      <c r="L79">
        <v>750</v>
      </c>
      <c r="M79" t="s">
        <v>48</v>
      </c>
      <c r="N79">
        <f t="shared" si="4"/>
        <v>8400</v>
      </c>
      <c r="O79">
        <f t="shared" si="5"/>
        <v>6150</v>
      </c>
      <c r="P79">
        <f t="shared" si="6"/>
        <v>8307655</v>
      </c>
      <c r="Q79">
        <f t="shared" si="7"/>
        <v>6375335</v>
      </c>
    </row>
    <row r="80" spans="1:17">
      <c r="A80" t="s">
        <v>257</v>
      </c>
      <c r="B80" s="1">
        <v>45662</v>
      </c>
      <c r="C80" t="s">
        <v>90</v>
      </c>
      <c r="D80" t="s">
        <v>88</v>
      </c>
      <c r="E80" t="s">
        <v>118</v>
      </c>
      <c r="F80" t="s">
        <v>33</v>
      </c>
      <c r="G80" t="s">
        <v>46</v>
      </c>
      <c r="H80" t="s">
        <v>80</v>
      </c>
      <c r="I80">
        <v>2</v>
      </c>
      <c r="J80">
        <v>1900</v>
      </c>
      <c r="K80">
        <v>0.15</v>
      </c>
      <c r="L80">
        <v>600</v>
      </c>
      <c r="M80" t="s">
        <v>28</v>
      </c>
      <c r="N80">
        <f t="shared" si="4"/>
        <v>3230</v>
      </c>
      <c r="O80">
        <f t="shared" si="5"/>
        <v>2030</v>
      </c>
      <c r="P80">
        <f t="shared" si="6"/>
        <v>8299255</v>
      </c>
      <c r="Q80">
        <f t="shared" si="7"/>
        <v>6369185</v>
      </c>
    </row>
    <row r="81" spans="1:17">
      <c r="A81" t="s">
        <v>258</v>
      </c>
      <c r="B81" s="1">
        <v>45853</v>
      </c>
      <c r="C81" t="s">
        <v>14</v>
      </c>
      <c r="D81" t="s">
        <v>259</v>
      </c>
      <c r="E81" t="s">
        <v>32</v>
      </c>
      <c r="F81" t="s">
        <v>25</v>
      </c>
      <c r="G81" t="s">
        <v>46</v>
      </c>
      <c r="H81" t="s">
        <v>80</v>
      </c>
      <c r="I81">
        <v>5</v>
      </c>
      <c r="J81">
        <v>1900</v>
      </c>
      <c r="K81">
        <v>0.15</v>
      </c>
      <c r="L81">
        <v>600</v>
      </c>
      <c r="M81" t="s">
        <v>48</v>
      </c>
      <c r="N81">
        <f t="shared" si="4"/>
        <v>8075</v>
      </c>
      <c r="O81">
        <f t="shared" si="5"/>
        <v>5075</v>
      </c>
      <c r="P81">
        <f t="shared" si="6"/>
        <v>8296025</v>
      </c>
      <c r="Q81">
        <f t="shared" si="7"/>
        <v>6367155</v>
      </c>
    </row>
    <row r="82" spans="1:17">
      <c r="A82" t="s">
        <v>260</v>
      </c>
      <c r="B82" s="1">
        <v>45972</v>
      </c>
      <c r="C82" t="s">
        <v>261</v>
      </c>
      <c r="D82" t="s">
        <v>139</v>
      </c>
      <c r="E82" t="s">
        <v>118</v>
      </c>
      <c r="F82" t="s">
        <v>25</v>
      </c>
      <c r="G82" t="s">
        <v>34</v>
      </c>
      <c r="H82" t="s">
        <v>106</v>
      </c>
      <c r="I82">
        <v>2</v>
      </c>
      <c r="J82">
        <v>650</v>
      </c>
      <c r="K82">
        <v>0.1</v>
      </c>
      <c r="L82">
        <v>200</v>
      </c>
      <c r="M82" t="s">
        <v>20</v>
      </c>
      <c r="N82">
        <f t="shared" si="4"/>
        <v>1170</v>
      </c>
      <c r="O82">
        <f t="shared" si="5"/>
        <v>770</v>
      </c>
      <c r="P82">
        <f t="shared" si="6"/>
        <v>8287950</v>
      </c>
      <c r="Q82">
        <f t="shared" si="7"/>
        <v>6362080</v>
      </c>
    </row>
    <row r="83" spans="1:17">
      <c r="A83" t="s">
        <v>262</v>
      </c>
      <c r="B83" s="1">
        <v>45847</v>
      </c>
      <c r="C83" t="s">
        <v>263</v>
      </c>
      <c r="D83" t="s">
        <v>264</v>
      </c>
      <c r="E83" t="s">
        <v>84</v>
      </c>
      <c r="F83" t="s">
        <v>17</v>
      </c>
      <c r="G83" t="s">
        <v>34</v>
      </c>
      <c r="H83" t="s">
        <v>35</v>
      </c>
      <c r="I83">
        <v>2</v>
      </c>
      <c r="J83">
        <v>18000</v>
      </c>
      <c r="K83">
        <v>0</v>
      </c>
      <c r="L83">
        <v>3000</v>
      </c>
      <c r="M83" t="s">
        <v>20</v>
      </c>
      <c r="N83">
        <f t="shared" si="4"/>
        <v>36000</v>
      </c>
      <c r="O83">
        <f t="shared" si="5"/>
        <v>30000</v>
      </c>
      <c r="P83">
        <f t="shared" si="6"/>
        <v>8286780</v>
      </c>
      <c r="Q83">
        <f t="shared" si="7"/>
        <v>6361310</v>
      </c>
    </row>
    <row r="84" spans="1:17">
      <c r="A84" t="s">
        <v>265</v>
      </c>
      <c r="B84" s="1">
        <v>46017</v>
      </c>
      <c r="C84" t="s">
        <v>266</v>
      </c>
      <c r="D84" t="s">
        <v>267</v>
      </c>
      <c r="E84" t="s">
        <v>118</v>
      </c>
      <c r="F84" t="s">
        <v>33</v>
      </c>
      <c r="G84" t="s">
        <v>18</v>
      </c>
      <c r="H84" t="s">
        <v>85</v>
      </c>
      <c r="I84">
        <v>4</v>
      </c>
      <c r="J84">
        <v>350</v>
      </c>
      <c r="K84">
        <v>0.15</v>
      </c>
      <c r="L84">
        <v>100</v>
      </c>
      <c r="M84" t="s">
        <v>48</v>
      </c>
      <c r="N84">
        <f t="shared" si="4"/>
        <v>1190</v>
      </c>
      <c r="O84">
        <f t="shared" si="5"/>
        <v>790</v>
      </c>
      <c r="P84">
        <f t="shared" si="6"/>
        <v>8250780</v>
      </c>
      <c r="Q84">
        <f t="shared" si="7"/>
        <v>6331310</v>
      </c>
    </row>
    <row r="85" spans="1:17">
      <c r="A85" t="s">
        <v>268</v>
      </c>
      <c r="B85" s="1">
        <v>45867</v>
      </c>
      <c r="C85" t="s">
        <v>269</v>
      </c>
      <c r="D85" t="s">
        <v>198</v>
      </c>
      <c r="E85" t="s">
        <v>45</v>
      </c>
      <c r="F85" t="s">
        <v>17</v>
      </c>
      <c r="G85" t="s">
        <v>18</v>
      </c>
      <c r="H85" t="s">
        <v>85</v>
      </c>
      <c r="I85">
        <v>1</v>
      </c>
      <c r="J85">
        <v>350</v>
      </c>
      <c r="K85">
        <v>0.15</v>
      </c>
      <c r="L85">
        <v>100</v>
      </c>
      <c r="M85" t="s">
        <v>20</v>
      </c>
      <c r="N85">
        <f t="shared" si="4"/>
        <v>297.5</v>
      </c>
      <c r="O85">
        <f t="shared" si="5"/>
        <v>197.5</v>
      </c>
      <c r="P85">
        <f t="shared" si="6"/>
        <v>8249590</v>
      </c>
      <c r="Q85">
        <f t="shared" si="7"/>
        <v>6330520</v>
      </c>
    </row>
    <row r="86" spans="1:17">
      <c r="A86" t="s">
        <v>270</v>
      </c>
      <c r="B86" s="1">
        <v>45750</v>
      </c>
      <c r="C86" t="s">
        <v>266</v>
      </c>
      <c r="D86" t="s">
        <v>59</v>
      </c>
      <c r="E86" t="s">
        <v>32</v>
      </c>
      <c r="F86" t="s">
        <v>40</v>
      </c>
      <c r="G86" t="s">
        <v>46</v>
      </c>
      <c r="H86" t="s">
        <v>60</v>
      </c>
      <c r="I86">
        <v>5</v>
      </c>
      <c r="J86">
        <v>2600</v>
      </c>
      <c r="K86">
        <v>0</v>
      </c>
      <c r="L86">
        <v>800</v>
      </c>
      <c r="M86" t="s">
        <v>28</v>
      </c>
      <c r="N86">
        <f t="shared" si="4"/>
        <v>13000</v>
      </c>
      <c r="O86">
        <f t="shared" si="5"/>
        <v>9000</v>
      </c>
      <c r="P86">
        <f t="shared" si="6"/>
        <v>8249292.5</v>
      </c>
      <c r="Q86">
        <f t="shared" si="7"/>
        <v>6330322.5</v>
      </c>
    </row>
    <row r="87" spans="1:17">
      <c r="A87" t="s">
        <v>271</v>
      </c>
      <c r="B87" s="1">
        <v>45790</v>
      </c>
      <c r="C87" t="s">
        <v>272</v>
      </c>
      <c r="D87" t="s">
        <v>273</v>
      </c>
      <c r="E87" t="s">
        <v>39</v>
      </c>
      <c r="F87" t="s">
        <v>33</v>
      </c>
      <c r="G87" t="s">
        <v>34</v>
      </c>
      <c r="H87" t="s">
        <v>56</v>
      </c>
      <c r="I87">
        <v>2</v>
      </c>
      <c r="J87">
        <v>1800</v>
      </c>
      <c r="K87">
        <v>0</v>
      </c>
      <c r="L87">
        <v>650</v>
      </c>
      <c r="M87" t="s">
        <v>20</v>
      </c>
      <c r="N87">
        <f t="shared" si="4"/>
        <v>3600</v>
      </c>
      <c r="O87">
        <f t="shared" si="5"/>
        <v>2300</v>
      </c>
      <c r="P87">
        <f t="shared" si="6"/>
        <v>8236292.5</v>
      </c>
      <c r="Q87">
        <f t="shared" si="7"/>
        <v>6321322.5</v>
      </c>
    </row>
    <row r="88" spans="1:17">
      <c r="A88" t="s">
        <v>274</v>
      </c>
      <c r="B88" s="1">
        <v>45866</v>
      </c>
      <c r="C88" t="s">
        <v>72</v>
      </c>
      <c r="D88" t="s">
        <v>155</v>
      </c>
      <c r="E88" t="s">
        <v>32</v>
      </c>
      <c r="F88" t="s">
        <v>25</v>
      </c>
      <c r="G88" t="s">
        <v>34</v>
      </c>
      <c r="H88" t="s">
        <v>53</v>
      </c>
      <c r="I88">
        <v>3</v>
      </c>
      <c r="J88">
        <v>950</v>
      </c>
      <c r="K88">
        <v>0.15</v>
      </c>
      <c r="L88">
        <v>300</v>
      </c>
      <c r="M88" t="s">
        <v>20</v>
      </c>
      <c r="N88">
        <f t="shared" si="4"/>
        <v>2422.5</v>
      </c>
      <c r="O88">
        <f t="shared" si="5"/>
        <v>1522.5</v>
      </c>
      <c r="P88">
        <f t="shared" si="6"/>
        <v>8232692.5</v>
      </c>
      <c r="Q88">
        <f t="shared" si="7"/>
        <v>6319022.5</v>
      </c>
    </row>
    <row r="89" spans="1:17">
      <c r="A89" t="s">
        <v>275</v>
      </c>
      <c r="B89" s="1">
        <v>45743</v>
      </c>
      <c r="C89" t="s">
        <v>276</v>
      </c>
      <c r="D89" t="s">
        <v>193</v>
      </c>
      <c r="E89" t="s">
        <v>24</v>
      </c>
      <c r="F89" t="s">
        <v>33</v>
      </c>
      <c r="G89" t="s">
        <v>46</v>
      </c>
      <c r="H89" t="s">
        <v>60</v>
      </c>
      <c r="I89">
        <v>4</v>
      </c>
      <c r="J89">
        <v>2600</v>
      </c>
      <c r="K89">
        <v>0.05</v>
      </c>
      <c r="L89">
        <v>800</v>
      </c>
      <c r="M89" t="s">
        <v>20</v>
      </c>
      <c r="N89">
        <f t="shared" si="4"/>
        <v>9880</v>
      </c>
      <c r="O89">
        <f t="shared" si="5"/>
        <v>6680</v>
      </c>
      <c r="P89">
        <f t="shared" si="6"/>
        <v>8230270</v>
      </c>
      <c r="Q89">
        <f t="shared" si="7"/>
        <v>6317500</v>
      </c>
    </row>
    <row r="90" spans="1:17">
      <c r="A90" t="s">
        <v>277</v>
      </c>
      <c r="B90" s="1">
        <v>45928</v>
      </c>
      <c r="C90" t="s">
        <v>278</v>
      </c>
      <c r="D90" t="s">
        <v>177</v>
      </c>
      <c r="E90" t="s">
        <v>16</v>
      </c>
      <c r="F90" t="s">
        <v>40</v>
      </c>
      <c r="G90" t="s">
        <v>46</v>
      </c>
      <c r="H90" t="s">
        <v>47</v>
      </c>
      <c r="I90">
        <v>2</v>
      </c>
      <c r="J90">
        <v>550</v>
      </c>
      <c r="K90">
        <v>0.05</v>
      </c>
      <c r="L90">
        <v>180</v>
      </c>
      <c r="M90" t="s">
        <v>48</v>
      </c>
      <c r="N90">
        <f t="shared" si="4"/>
        <v>1045</v>
      </c>
      <c r="O90">
        <f t="shared" si="5"/>
        <v>685</v>
      </c>
      <c r="P90">
        <f t="shared" si="6"/>
        <v>8220390</v>
      </c>
      <c r="Q90">
        <f t="shared" si="7"/>
        <v>6310820</v>
      </c>
    </row>
    <row r="91" spans="1:17">
      <c r="A91" t="s">
        <v>279</v>
      </c>
      <c r="B91" s="1">
        <v>45979</v>
      </c>
      <c r="C91" t="s">
        <v>280</v>
      </c>
      <c r="D91" t="s">
        <v>281</v>
      </c>
      <c r="E91" t="s">
        <v>45</v>
      </c>
      <c r="F91" t="s">
        <v>33</v>
      </c>
      <c r="G91" t="s">
        <v>18</v>
      </c>
      <c r="H91" t="s">
        <v>85</v>
      </c>
      <c r="I91">
        <v>4</v>
      </c>
      <c r="J91">
        <v>350</v>
      </c>
      <c r="K91">
        <v>0.05</v>
      </c>
      <c r="L91">
        <v>100</v>
      </c>
      <c r="M91" t="s">
        <v>28</v>
      </c>
      <c r="N91">
        <f t="shared" si="4"/>
        <v>1330</v>
      </c>
      <c r="O91">
        <f t="shared" si="5"/>
        <v>930</v>
      </c>
      <c r="P91">
        <f t="shared" si="6"/>
        <v>8219345</v>
      </c>
      <c r="Q91">
        <f t="shared" si="7"/>
        <v>6310135</v>
      </c>
    </row>
    <row r="92" spans="1:17">
      <c r="A92" t="s">
        <v>282</v>
      </c>
      <c r="B92" s="1">
        <v>45825</v>
      </c>
      <c r="C92" t="s">
        <v>283</v>
      </c>
      <c r="D92" t="s">
        <v>284</v>
      </c>
      <c r="E92" t="s">
        <v>45</v>
      </c>
      <c r="F92" t="s">
        <v>25</v>
      </c>
      <c r="G92" t="s">
        <v>18</v>
      </c>
      <c r="H92" t="s">
        <v>19</v>
      </c>
      <c r="I92">
        <v>2</v>
      </c>
      <c r="J92">
        <v>1200</v>
      </c>
      <c r="K92">
        <v>0</v>
      </c>
      <c r="L92">
        <v>350</v>
      </c>
      <c r="M92" t="s">
        <v>20</v>
      </c>
      <c r="N92">
        <f t="shared" si="4"/>
        <v>2400</v>
      </c>
      <c r="O92">
        <f t="shared" si="5"/>
        <v>1700</v>
      </c>
      <c r="P92">
        <f t="shared" si="6"/>
        <v>8218015</v>
      </c>
      <c r="Q92">
        <f t="shared" si="7"/>
        <v>6309205</v>
      </c>
    </row>
    <row r="93" spans="1:17">
      <c r="A93" t="s">
        <v>285</v>
      </c>
      <c r="B93" s="1">
        <v>45922</v>
      </c>
      <c r="C93" t="s">
        <v>286</v>
      </c>
      <c r="D93" t="s">
        <v>144</v>
      </c>
      <c r="E93" t="s">
        <v>45</v>
      </c>
      <c r="F93" t="s">
        <v>25</v>
      </c>
      <c r="G93" t="s">
        <v>26</v>
      </c>
      <c r="H93" t="s">
        <v>159</v>
      </c>
      <c r="I93">
        <v>1</v>
      </c>
      <c r="J93">
        <v>8500</v>
      </c>
      <c r="K93">
        <v>0</v>
      </c>
      <c r="L93">
        <v>2100</v>
      </c>
      <c r="M93" t="s">
        <v>20</v>
      </c>
      <c r="N93">
        <f t="shared" si="4"/>
        <v>8500</v>
      </c>
      <c r="O93">
        <f t="shared" si="5"/>
        <v>6400</v>
      </c>
      <c r="P93">
        <f t="shared" si="6"/>
        <v>8215615</v>
      </c>
      <c r="Q93">
        <f t="shared" si="7"/>
        <v>6307505</v>
      </c>
    </row>
    <row r="94" spans="1:17">
      <c r="A94" t="s">
        <v>287</v>
      </c>
      <c r="B94" s="1">
        <v>45769</v>
      </c>
      <c r="C94" t="s">
        <v>288</v>
      </c>
      <c r="D94" t="s">
        <v>112</v>
      </c>
      <c r="E94" t="s">
        <v>118</v>
      </c>
      <c r="F94" t="s">
        <v>33</v>
      </c>
      <c r="G94" t="s">
        <v>26</v>
      </c>
      <c r="H94" t="s">
        <v>153</v>
      </c>
      <c r="I94">
        <v>3</v>
      </c>
      <c r="J94">
        <v>4200</v>
      </c>
      <c r="K94">
        <v>0</v>
      </c>
      <c r="L94">
        <v>1000</v>
      </c>
      <c r="M94" t="s">
        <v>48</v>
      </c>
      <c r="N94">
        <f t="shared" si="4"/>
        <v>12600</v>
      </c>
      <c r="O94">
        <f t="shared" si="5"/>
        <v>9600</v>
      </c>
      <c r="P94">
        <f t="shared" si="6"/>
        <v>8207115</v>
      </c>
      <c r="Q94">
        <f t="shared" si="7"/>
        <v>6301105</v>
      </c>
    </row>
    <row r="95" spans="1:17">
      <c r="A95" t="s">
        <v>289</v>
      </c>
      <c r="B95" s="1">
        <v>45780</v>
      </c>
      <c r="C95" t="s">
        <v>50</v>
      </c>
      <c r="D95" t="s">
        <v>290</v>
      </c>
      <c r="E95" t="s">
        <v>39</v>
      </c>
      <c r="F95" t="s">
        <v>40</v>
      </c>
      <c r="G95" t="s">
        <v>34</v>
      </c>
      <c r="H95" t="s">
        <v>53</v>
      </c>
      <c r="I95">
        <v>3</v>
      </c>
      <c r="J95">
        <v>950</v>
      </c>
      <c r="K95">
        <v>0.05</v>
      </c>
      <c r="L95">
        <v>300</v>
      </c>
      <c r="M95" t="s">
        <v>48</v>
      </c>
      <c r="N95">
        <f t="shared" si="4"/>
        <v>2707.5</v>
      </c>
      <c r="O95">
        <f t="shared" si="5"/>
        <v>1807.5</v>
      </c>
      <c r="P95">
        <f t="shared" si="6"/>
        <v>8194515</v>
      </c>
      <c r="Q95">
        <f t="shared" si="7"/>
        <v>6291505</v>
      </c>
    </row>
    <row r="96" spans="1:17">
      <c r="A96" t="s">
        <v>291</v>
      </c>
      <c r="B96" s="1">
        <v>45998</v>
      </c>
      <c r="C96" t="s">
        <v>43</v>
      </c>
      <c r="D96" t="s">
        <v>292</v>
      </c>
      <c r="E96" t="s">
        <v>118</v>
      </c>
      <c r="F96" t="s">
        <v>33</v>
      </c>
      <c r="G96" t="s">
        <v>34</v>
      </c>
      <c r="H96" t="s">
        <v>41</v>
      </c>
      <c r="I96">
        <v>2</v>
      </c>
      <c r="J96">
        <v>52000</v>
      </c>
      <c r="K96">
        <v>0.1</v>
      </c>
      <c r="L96">
        <v>9000</v>
      </c>
      <c r="M96" t="s">
        <v>28</v>
      </c>
      <c r="N96">
        <f t="shared" si="4"/>
        <v>93600</v>
      </c>
      <c r="O96">
        <f t="shared" si="5"/>
        <v>75600</v>
      </c>
      <c r="P96">
        <f t="shared" si="6"/>
        <v>8191807.5</v>
      </c>
      <c r="Q96">
        <f t="shared" si="7"/>
        <v>6289697.5</v>
      </c>
    </row>
    <row r="97" spans="1:17">
      <c r="A97" t="s">
        <v>293</v>
      </c>
      <c r="B97" s="1">
        <v>45846</v>
      </c>
      <c r="C97" t="s">
        <v>294</v>
      </c>
      <c r="D97" t="s">
        <v>295</v>
      </c>
      <c r="E97" t="s">
        <v>45</v>
      </c>
      <c r="F97" t="s">
        <v>17</v>
      </c>
      <c r="G97" t="s">
        <v>18</v>
      </c>
      <c r="H97" t="s">
        <v>70</v>
      </c>
      <c r="I97">
        <v>5</v>
      </c>
      <c r="J97">
        <v>2400</v>
      </c>
      <c r="K97">
        <v>0.15</v>
      </c>
      <c r="L97">
        <v>650</v>
      </c>
      <c r="M97" t="s">
        <v>48</v>
      </c>
      <c r="N97">
        <f t="shared" si="4"/>
        <v>10200</v>
      </c>
      <c r="O97">
        <f t="shared" si="5"/>
        <v>6950</v>
      </c>
      <c r="P97">
        <f t="shared" si="6"/>
        <v>8098207.5</v>
      </c>
      <c r="Q97">
        <f t="shared" si="7"/>
        <v>6214097.5</v>
      </c>
    </row>
    <row r="98" spans="1:17">
      <c r="A98" t="s">
        <v>296</v>
      </c>
      <c r="B98" s="1">
        <v>46006</v>
      </c>
      <c r="C98" t="s">
        <v>219</v>
      </c>
      <c r="D98" t="s">
        <v>297</v>
      </c>
      <c r="E98" t="s">
        <v>39</v>
      </c>
      <c r="F98" t="s">
        <v>17</v>
      </c>
      <c r="G98" t="s">
        <v>18</v>
      </c>
      <c r="H98" t="s">
        <v>85</v>
      </c>
      <c r="I98">
        <v>2</v>
      </c>
      <c r="J98">
        <v>350</v>
      </c>
      <c r="K98">
        <v>0</v>
      </c>
      <c r="L98">
        <v>100</v>
      </c>
      <c r="M98" t="s">
        <v>20</v>
      </c>
      <c r="N98">
        <f t="shared" si="4"/>
        <v>700</v>
      </c>
      <c r="O98">
        <f t="shared" si="5"/>
        <v>500</v>
      </c>
      <c r="P98">
        <f t="shared" si="6"/>
        <v>8088007.5</v>
      </c>
      <c r="Q98">
        <f t="shared" si="7"/>
        <v>6207147.5</v>
      </c>
    </row>
    <row r="99" spans="1:17">
      <c r="A99" t="s">
        <v>298</v>
      </c>
      <c r="B99" s="1">
        <v>45784</v>
      </c>
      <c r="C99" t="s">
        <v>43</v>
      </c>
      <c r="D99" t="s">
        <v>102</v>
      </c>
      <c r="E99" t="s">
        <v>118</v>
      </c>
      <c r="F99" t="s">
        <v>25</v>
      </c>
      <c r="G99" t="s">
        <v>34</v>
      </c>
      <c r="H99" t="s">
        <v>53</v>
      </c>
      <c r="I99">
        <v>4</v>
      </c>
      <c r="J99">
        <v>950</v>
      </c>
      <c r="K99">
        <v>0.15</v>
      </c>
      <c r="L99">
        <v>300</v>
      </c>
      <c r="M99" t="s">
        <v>20</v>
      </c>
      <c r="N99">
        <f t="shared" si="4"/>
        <v>3230</v>
      </c>
      <c r="O99">
        <f t="shared" si="5"/>
        <v>2030</v>
      </c>
      <c r="P99">
        <f t="shared" si="6"/>
        <v>8087307.5</v>
      </c>
      <c r="Q99">
        <f t="shared" si="7"/>
        <v>6206647.5</v>
      </c>
    </row>
    <row r="100" spans="1:17">
      <c r="A100" t="s">
        <v>299</v>
      </c>
      <c r="B100" s="1">
        <v>45953</v>
      </c>
      <c r="C100" t="s">
        <v>300</v>
      </c>
      <c r="D100" t="s">
        <v>301</v>
      </c>
      <c r="E100" t="s">
        <v>32</v>
      </c>
      <c r="F100" t="s">
        <v>33</v>
      </c>
      <c r="G100" t="s">
        <v>34</v>
      </c>
      <c r="H100" t="s">
        <v>41</v>
      </c>
      <c r="I100">
        <v>5</v>
      </c>
      <c r="J100">
        <v>52000</v>
      </c>
      <c r="K100">
        <v>0</v>
      </c>
      <c r="L100">
        <v>9000</v>
      </c>
      <c r="M100" t="s">
        <v>28</v>
      </c>
      <c r="N100">
        <f t="shared" si="4"/>
        <v>260000</v>
      </c>
      <c r="O100">
        <f t="shared" si="5"/>
        <v>215000</v>
      </c>
      <c r="P100">
        <f t="shared" si="6"/>
        <v>8084077.5</v>
      </c>
      <c r="Q100">
        <f t="shared" si="7"/>
        <v>6204617.5</v>
      </c>
    </row>
    <row r="101" spans="1:17">
      <c r="A101" t="s">
        <v>302</v>
      </c>
      <c r="B101" s="1">
        <v>45723</v>
      </c>
      <c r="C101" t="s">
        <v>303</v>
      </c>
      <c r="D101" t="s">
        <v>304</v>
      </c>
      <c r="E101" t="s">
        <v>24</v>
      </c>
      <c r="F101" t="s">
        <v>17</v>
      </c>
      <c r="G101" t="s">
        <v>34</v>
      </c>
      <c r="H101" t="s">
        <v>41</v>
      </c>
      <c r="I101">
        <v>4</v>
      </c>
      <c r="J101">
        <v>52000</v>
      </c>
      <c r="K101">
        <v>0.15</v>
      </c>
      <c r="L101">
        <v>9000</v>
      </c>
      <c r="M101" t="s">
        <v>28</v>
      </c>
      <c r="N101">
        <f t="shared" si="4"/>
        <v>176800</v>
      </c>
      <c r="O101">
        <f t="shared" si="5"/>
        <v>140800</v>
      </c>
      <c r="P101">
        <f t="shared" si="6"/>
        <v>7824077.5</v>
      </c>
      <c r="Q101">
        <f t="shared" si="7"/>
        <v>5989617.5</v>
      </c>
    </row>
    <row r="102" spans="1:17">
      <c r="A102" t="s">
        <v>305</v>
      </c>
      <c r="B102" s="1">
        <v>45760</v>
      </c>
      <c r="C102" t="s">
        <v>306</v>
      </c>
      <c r="D102" t="s">
        <v>120</v>
      </c>
      <c r="E102" t="s">
        <v>84</v>
      </c>
      <c r="F102" t="s">
        <v>25</v>
      </c>
      <c r="G102" t="s">
        <v>34</v>
      </c>
      <c r="H102" t="s">
        <v>56</v>
      </c>
      <c r="I102">
        <v>2</v>
      </c>
      <c r="J102">
        <v>1800</v>
      </c>
      <c r="K102">
        <v>0.05</v>
      </c>
      <c r="L102">
        <v>650</v>
      </c>
      <c r="M102" t="s">
        <v>28</v>
      </c>
      <c r="N102">
        <f t="shared" si="4"/>
        <v>3420</v>
      </c>
      <c r="O102">
        <f t="shared" si="5"/>
        <v>2120</v>
      </c>
      <c r="P102">
        <f t="shared" si="6"/>
        <v>7647277.5</v>
      </c>
      <c r="Q102">
        <f t="shared" si="7"/>
        <v>5848817.5</v>
      </c>
    </row>
    <row r="103" spans="1:17">
      <c r="A103" t="s">
        <v>307</v>
      </c>
      <c r="B103" s="1">
        <v>45726</v>
      </c>
      <c r="C103" t="s">
        <v>286</v>
      </c>
      <c r="D103" t="s">
        <v>205</v>
      </c>
      <c r="E103" t="s">
        <v>84</v>
      </c>
      <c r="F103" t="s">
        <v>40</v>
      </c>
      <c r="G103" t="s">
        <v>26</v>
      </c>
      <c r="H103" t="s">
        <v>159</v>
      </c>
      <c r="I103">
        <v>4</v>
      </c>
      <c r="J103">
        <v>8500</v>
      </c>
      <c r="K103">
        <v>0</v>
      </c>
      <c r="L103">
        <v>2100</v>
      </c>
      <c r="M103" t="s">
        <v>20</v>
      </c>
      <c r="N103">
        <f t="shared" si="4"/>
        <v>34000</v>
      </c>
      <c r="O103">
        <f t="shared" si="5"/>
        <v>25600</v>
      </c>
      <c r="P103">
        <f t="shared" si="6"/>
        <v>7643857.5</v>
      </c>
      <c r="Q103">
        <f t="shared" si="7"/>
        <v>5846697.5</v>
      </c>
    </row>
    <row r="104" spans="1:17">
      <c r="A104" t="s">
        <v>308</v>
      </c>
      <c r="B104" s="1">
        <v>46006</v>
      </c>
      <c r="C104" t="s">
        <v>309</v>
      </c>
      <c r="D104" t="s">
        <v>310</v>
      </c>
      <c r="E104" t="s">
        <v>118</v>
      </c>
      <c r="F104" t="s">
        <v>17</v>
      </c>
      <c r="G104" t="s">
        <v>34</v>
      </c>
      <c r="H104" t="s">
        <v>53</v>
      </c>
      <c r="I104">
        <v>2</v>
      </c>
      <c r="J104">
        <v>950</v>
      </c>
      <c r="K104">
        <v>0.15</v>
      </c>
      <c r="L104">
        <v>300</v>
      </c>
      <c r="M104" t="s">
        <v>20</v>
      </c>
      <c r="N104">
        <f t="shared" si="4"/>
        <v>1615</v>
      </c>
      <c r="O104">
        <f t="shared" si="5"/>
        <v>1015</v>
      </c>
      <c r="P104">
        <f t="shared" si="6"/>
        <v>7609857.5</v>
      </c>
      <c r="Q104">
        <f t="shared" si="7"/>
        <v>5821097.5</v>
      </c>
    </row>
    <row r="105" spans="1:17">
      <c r="A105" t="s">
        <v>311</v>
      </c>
      <c r="B105" s="1">
        <v>45739</v>
      </c>
      <c r="C105" t="s">
        <v>312</v>
      </c>
      <c r="D105" t="s">
        <v>313</v>
      </c>
      <c r="E105" t="s">
        <v>39</v>
      </c>
      <c r="F105" t="s">
        <v>33</v>
      </c>
      <c r="G105" t="s">
        <v>26</v>
      </c>
      <c r="H105" t="s">
        <v>92</v>
      </c>
      <c r="I105">
        <v>1</v>
      </c>
      <c r="J105">
        <v>15000</v>
      </c>
      <c r="K105">
        <v>0.1</v>
      </c>
      <c r="L105">
        <v>3500</v>
      </c>
      <c r="M105" t="s">
        <v>48</v>
      </c>
      <c r="N105">
        <f t="shared" si="4"/>
        <v>13500</v>
      </c>
      <c r="O105">
        <f t="shared" si="5"/>
        <v>10000</v>
      </c>
      <c r="P105">
        <f t="shared" si="6"/>
        <v>7608242.5</v>
      </c>
      <c r="Q105">
        <f t="shared" si="7"/>
        <v>5820082.5</v>
      </c>
    </row>
    <row r="106" spans="1:17">
      <c r="A106" t="s">
        <v>314</v>
      </c>
      <c r="B106" s="1">
        <v>45674</v>
      </c>
      <c r="C106" t="s">
        <v>315</v>
      </c>
      <c r="D106" t="s">
        <v>147</v>
      </c>
      <c r="E106" t="s">
        <v>84</v>
      </c>
      <c r="F106" t="s">
        <v>33</v>
      </c>
      <c r="G106" t="s">
        <v>34</v>
      </c>
      <c r="H106" t="s">
        <v>56</v>
      </c>
      <c r="I106">
        <v>4</v>
      </c>
      <c r="J106">
        <v>1800</v>
      </c>
      <c r="K106">
        <v>0.05</v>
      </c>
      <c r="L106">
        <v>650</v>
      </c>
      <c r="M106" t="s">
        <v>28</v>
      </c>
      <c r="N106">
        <f t="shared" si="4"/>
        <v>6840</v>
      </c>
      <c r="O106">
        <f t="shared" si="5"/>
        <v>4240</v>
      </c>
      <c r="P106">
        <f t="shared" si="6"/>
        <v>7594742.5</v>
      </c>
      <c r="Q106">
        <f t="shared" si="7"/>
        <v>5810082.5</v>
      </c>
    </row>
    <row r="107" spans="1:17">
      <c r="A107" t="s">
        <v>316</v>
      </c>
      <c r="B107" s="1">
        <v>45698</v>
      </c>
      <c r="C107" t="s">
        <v>231</v>
      </c>
      <c r="D107" t="s">
        <v>259</v>
      </c>
      <c r="E107" t="s">
        <v>16</v>
      </c>
      <c r="F107" t="s">
        <v>33</v>
      </c>
      <c r="G107" t="s">
        <v>26</v>
      </c>
      <c r="H107" t="s">
        <v>92</v>
      </c>
      <c r="I107">
        <v>2</v>
      </c>
      <c r="J107">
        <v>15000</v>
      </c>
      <c r="K107">
        <v>0.15</v>
      </c>
      <c r="L107">
        <v>3500</v>
      </c>
      <c r="M107" t="s">
        <v>28</v>
      </c>
      <c r="N107">
        <f t="shared" si="4"/>
        <v>25500</v>
      </c>
      <c r="O107">
        <f t="shared" si="5"/>
        <v>18500</v>
      </c>
      <c r="P107">
        <f t="shared" si="6"/>
        <v>7587902.5</v>
      </c>
      <c r="Q107">
        <f t="shared" si="7"/>
        <v>5805842.5</v>
      </c>
    </row>
    <row r="108" spans="1:17">
      <c r="A108" t="s">
        <v>317</v>
      </c>
      <c r="B108" s="1">
        <v>45687</v>
      </c>
      <c r="C108" t="s">
        <v>318</v>
      </c>
      <c r="D108" t="s">
        <v>248</v>
      </c>
      <c r="E108" t="s">
        <v>45</v>
      </c>
      <c r="F108" t="s">
        <v>40</v>
      </c>
      <c r="G108" t="s">
        <v>18</v>
      </c>
      <c r="H108" t="s">
        <v>76</v>
      </c>
      <c r="I108">
        <v>4</v>
      </c>
      <c r="J108">
        <v>850</v>
      </c>
      <c r="K108">
        <v>0</v>
      </c>
      <c r="L108">
        <v>250</v>
      </c>
      <c r="M108" t="s">
        <v>48</v>
      </c>
      <c r="N108">
        <f t="shared" si="4"/>
        <v>3400</v>
      </c>
      <c r="O108">
        <f t="shared" si="5"/>
        <v>2400</v>
      </c>
      <c r="P108">
        <f t="shared" si="6"/>
        <v>7562402.5</v>
      </c>
      <c r="Q108">
        <f t="shared" si="7"/>
        <v>5787342.5</v>
      </c>
    </row>
    <row r="109" spans="1:17">
      <c r="A109" t="s">
        <v>319</v>
      </c>
      <c r="B109" s="1">
        <v>45937</v>
      </c>
      <c r="C109" t="s">
        <v>320</v>
      </c>
      <c r="D109" t="s">
        <v>321</v>
      </c>
      <c r="E109" t="s">
        <v>16</v>
      </c>
      <c r="F109" t="s">
        <v>17</v>
      </c>
      <c r="G109" t="s">
        <v>34</v>
      </c>
      <c r="H109" t="s">
        <v>41</v>
      </c>
      <c r="I109">
        <v>3</v>
      </c>
      <c r="J109">
        <v>52000</v>
      </c>
      <c r="K109">
        <v>0.15</v>
      </c>
      <c r="L109">
        <v>9000</v>
      </c>
      <c r="M109" t="s">
        <v>20</v>
      </c>
      <c r="N109">
        <f t="shared" si="4"/>
        <v>132600</v>
      </c>
      <c r="O109">
        <f t="shared" si="5"/>
        <v>105600</v>
      </c>
      <c r="P109">
        <f t="shared" si="6"/>
        <v>7559002.5</v>
      </c>
      <c r="Q109">
        <f t="shared" si="7"/>
        <v>5784942.5</v>
      </c>
    </row>
    <row r="110" spans="1:17">
      <c r="A110" t="s">
        <v>322</v>
      </c>
      <c r="B110" s="1">
        <v>45926</v>
      </c>
      <c r="C110" t="s">
        <v>323</v>
      </c>
      <c r="D110" t="s">
        <v>147</v>
      </c>
      <c r="E110" t="s">
        <v>52</v>
      </c>
      <c r="F110" t="s">
        <v>17</v>
      </c>
      <c r="G110" t="s">
        <v>18</v>
      </c>
      <c r="H110" t="s">
        <v>70</v>
      </c>
      <c r="I110">
        <v>1</v>
      </c>
      <c r="J110">
        <v>2400</v>
      </c>
      <c r="K110">
        <v>0.15</v>
      </c>
      <c r="L110">
        <v>650</v>
      </c>
      <c r="M110" t="s">
        <v>48</v>
      </c>
      <c r="N110">
        <f t="shared" si="4"/>
        <v>2040</v>
      </c>
      <c r="O110">
        <f t="shared" si="5"/>
        <v>1390</v>
      </c>
      <c r="P110">
        <f t="shared" si="6"/>
        <v>7426402.5</v>
      </c>
      <c r="Q110">
        <f t="shared" si="7"/>
        <v>5679342.5</v>
      </c>
    </row>
    <row r="111" spans="1:17">
      <c r="A111" t="s">
        <v>324</v>
      </c>
      <c r="B111" s="1">
        <v>45815</v>
      </c>
      <c r="C111" t="s">
        <v>228</v>
      </c>
      <c r="D111" t="s">
        <v>325</v>
      </c>
      <c r="E111" t="s">
        <v>16</v>
      </c>
      <c r="F111" t="s">
        <v>17</v>
      </c>
      <c r="G111" t="s">
        <v>46</v>
      </c>
      <c r="H111" t="s">
        <v>96</v>
      </c>
      <c r="I111">
        <v>5</v>
      </c>
      <c r="J111">
        <v>3200</v>
      </c>
      <c r="K111">
        <v>0</v>
      </c>
      <c r="L111">
        <v>950</v>
      </c>
      <c r="M111" t="s">
        <v>20</v>
      </c>
      <c r="N111">
        <f t="shared" si="4"/>
        <v>16000</v>
      </c>
      <c r="O111">
        <f t="shared" si="5"/>
        <v>11250</v>
      </c>
      <c r="P111">
        <f t="shared" si="6"/>
        <v>7424362.5</v>
      </c>
      <c r="Q111">
        <f t="shared" si="7"/>
        <v>5677952.5</v>
      </c>
    </row>
    <row r="112" spans="1:17">
      <c r="A112" t="s">
        <v>326</v>
      </c>
      <c r="B112" s="1">
        <v>45852</v>
      </c>
      <c r="C112" t="s">
        <v>37</v>
      </c>
      <c r="D112" t="s">
        <v>327</v>
      </c>
      <c r="E112" t="s">
        <v>39</v>
      </c>
      <c r="F112" t="s">
        <v>25</v>
      </c>
      <c r="G112" t="s">
        <v>46</v>
      </c>
      <c r="H112" t="s">
        <v>80</v>
      </c>
      <c r="I112">
        <v>2</v>
      </c>
      <c r="J112">
        <v>1900</v>
      </c>
      <c r="K112">
        <v>0</v>
      </c>
      <c r="L112">
        <v>600</v>
      </c>
      <c r="M112" t="s">
        <v>48</v>
      </c>
      <c r="N112">
        <f t="shared" si="4"/>
        <v>3800</v>
      </c>
      <c r="O112">
        <f t="shared" si="5"/>
        <v>2600</v>
      </c>
      <c r="P112">
        <f t="shared" si="6"/>
        <v>7408362.5</v>
      </c>
      <c r="Q112">
        <f t="shared" si="7"/>
        <v>5666702.5</v>
      </c>
    </row>
    <row r="113" spans="1:17">
      <c r="A113" t="s">
        <v>328</v>
      </c>
      <c r="B113" s="1">
        <v>45997</v>
      </c>
      <c r="C113" t="s">
        <v>329</v>
      </c>
      <c r="D113" t="s">
        <v>301</v>
      </c>
      <c r="E113" t="s">
        <v>16</v>
      </c>
      <c r="F113" t="s">
        <v>40</v>
      </c>
      <c r="G113" t="s">
        <v>34</v>
      </c>
      <c r="H113" t="s">
        <v>41</v>
      </c>
      <c r="I113">
        <v>3</v>
      </c>
      <c r="J113">
        <v>52000</v>
      </c>
      <c r="K113">
        <v>0</v>
      </c>
      <c r="L113">
        <v>9000</v>
      </c>
      <c r="M113" t="s">
        <v>28</v>
      </c>
      <c r="N113">
        <f t="shared" si="4"/>
        <v>156000</v>
      </c>
      <c r="O113">
        <f t="shared" si="5"/>
        <v>129000</v>
      </c>
      <c r="P113">
        <f t="shared" si="6"/>
        <v>7404562.5</v>
      </c>
      <c r="Q113">
        <f t="shared" si="7"/>
        <v>5664102.5</v>
      </c>
    </row>
    <row r="114" spans="1:17">
      <c r="A114" t="s">
        <v>330</v>
      </c>
      <c r="B114" s="1">
        <v>46005</v>
      </c>
      <c r="C114" t="s">
        <v>157</v>
      </c>
      <c r="D114" t="s">
        <v>331</v>
      </c>
      <c r="E114" t="s">
        <v>45</v>
      </c>
      <c r="F114" t="s">
        <v>40</v>
      </c>
      <c r="G114" t="s">
        <v>26</v>
      </c>
      <c r="H114" t="s">
        <v>159</v>
      </c>
      <c r="I114">
        <v>4</v>
      </c>
      <c r="J114">
        <v>8500</v>
      </c>
      <c r="K114">
        <v>0.15</v>
      </c>
      <c r="L114">
        <v>2100</v>
      </c>
      <c r="M114" t="s">
        <v>48</v>
      </c>
      <c r="N114">
        <f t="shared" si="4"/>
        <v>28900</v>
      </c>
      <c r="O114">
        <f t="shared" si="5"/>
        <v>20500</v>
      </c>
      <c r="P114">
        <f t="shared" si="6"/>
        <v>7248562.5</v>
      </c>
      <c r="Q114">
        <f t="shared" si="7"/>
        <v>5535102.5</v>
      </c>
    </row>
    <row r="115" spans="1:17">
      <c r="A115" t="s">
        <v>332</v>
      </c>
      <c r="B115" s="1">
        <v>45851</v>
      </c>
      <c r="C115" t="s">
        <v>333</v>
      </c>
      <c r="D115" t="s">
        <v>38</v>
      </c>
      <c r="E115" t="s">
        <v>52</v>
      </c>
      <c r="F115" t="s">
        <v>17</v>
      </c>
      <c r="G115" t="s">
        <v>46</v>
      </c>
      <c r="H115" t="s">
        <v>96</v>
      </c>
      <c r="I115">
        <v>4</v>
      </c>
      <c r="J115">
        <v>3200</v>
      </c>
      <c r="K115">
        <v>0</v>
      </c>
      <c r="L115">
        <v>950</v>
      </c>
      <c r="M115" t="s">
        <v>48</v>
      </c>
      <c r="N115">
        <f t="shared" si="4"/>
        <v>12800</v>
      </c>
      <c r="O115">
        <f t="shared" si="5"/>
        <v>9000</v>
      </c>
      <c r="P115">
        <f t="shared" si="6"/>
        <v>7219662.5</v>
      </c>
      <c r="Q115">
        <f t="shared" si="7"/>
        <v>5514602.5</v>
      </c>
    </row>
    <row r="116" spans="1:17">
      <c r="A116" t="s">
        <v>334</v>
      </c>
      <c r="B116" s="1">
        <v>45685</v>
      </c>
      <c r="C116" t="s">
        <v>213</v>
      </c>
      <c r="D116" t="s">
        <v>335</v>
      </c>
      <c r="E116" t="s">
        <v>24</v>
      </c>
      <c r="F116" t="s">
        <v>40</v>
      </c>
      <c r="G116" t="s">
        <v>26</v>
      </c>
      <c r="H116" t="s">
        <v>159</v>
      </c>
      <c r="I116">
        <v>5</v>
      </c>
      <c r="J116">
        <v>8500</v>
      </c>
      <c r="K116">
        <v>0.15</v>
      </c>
      <c r="L116">
        <v>2100</v>
      </c>
      <c r="M116" t="s">
        <v>48</v>
      </c>
      <c r="N116">
        <f t="shared" si="4"/>
        <v>36125</v>
      </c>
      <c r="O116">
        <f t="shared" si="5"/>
        <v>25625</v>
      </c>
      <c r="P116">
        <f t="shared" si="6"/>
        <v>7206862.5</v>
      </c>
      <c r="Q116">
        <f t="shared" si="7"/>
        <v>5505602.5</v>
      </c>
    </row>
    <row r="117" spans="1:17">
      <c r="A117" t="s">
        <v>336</v>
      </c>
      <c r="B117" s="1">
        <v>45879</v>
      </c>
      <c r="C117" t="s">
        <v>143</v>
      </c>
      <c r="D117" t="s">
        <v>337</v>
      </c>
      <c r="E117" t="s">
        <v>32</v>
      </c>
      <c r="F117" t="s">
        <v>40</v>
      </c>
      <c r="G117" t="s">
        <v>26</v>
      </c>
      <c r="H117" t="s">
        <v>153</v>
      </c>
      <c r="I117">
        <v>4</v>
      </c>
      <c r="J117">
        <v>4200</v>
      </c>
      <c r="K117">
        <v>0</v>
      </c>
      <c r="L117">
        <v>1000</v>
      </c>
      <c r="M117" t="s">
        <v>20</v>
      </c>
      <c r="N117">
        <f t="shared" si="4"/>
        <v>16800</v>
      </c>
      <c r="O117">
        <f t="shared" si="5"/>
        <v>12800</v>
      </c>
      <c r="P117">
        <f t="shared" si="6"/>
        <v>7170737.5</v>
      </c>
      <c r="Q117">
        <f t="shared" si="7"/>
        <v>5479977.5</v>
      </c>
    </row>
    <row r="118" spans="1:17">
      <c r="A118" t="s">
        <v>338</v>
      </c>
      <c r="B118" s="1">
        <v>45761</v>
      </c>
      <c r="C118" t="s">
        <v>339</v>
      </c>
      <c r="D118" t="s">
        <v>38</v>
      </c>
      <c r="E118" t="s">
        <v>52</v>
      </c>
      <c r="F118" t="s">
        <v>25</v>
      </c>
      <c r="G118" t="s">
        <v>46</v>
      </c>
      <c r="H118" t="s">
        <v>340</v>
      </c>
      <c r="I118">
        <v>2</v>
      </c>
      <c r="J118">
        <v>1400</v>
      </c>
      <c r="K118">
        <v>0.1</v>
      </c>
      <c r="L118">
        <v>450</v>
      </c>
      <c r="M118" t="s">
        <v>48</v>
      </c>
      <c r="N118">
        <f t="shared" si="4"/>
        <v>2520</v>
      </c>
      <c r="O118">
        <f t="shared" si="5"/>
        <v>1620</v>
      </c>
      <c r="P118">
        <f t="shared" si="6"/>
        <v>7153937.5</v>
      </c>
      <c r="Q118">
        <f t="shared" si="7"/>
        <v>5467177.5</v>
      </c>
    </row>
    <row r="119" spans="1:17">
      <c r="A119" t="s">
        <v>341</v>
      </c>
      <c r="B119" s="1">
        <v>45893</v>
      </c>
      <c r="C119" t="s">
        <v>342</v>
      </c>
      <c r="D119" t="s">
        <v>343</v>
      </c>
      <c r="E119" t="s">
        <v>39</v>
      </c>
      <c r="F119" t="s">
        <v>40</v>
      </c>
      <c r="G119" t="s">
        <v>46</v>
      </c>
      <c r="H119" t="s">
        <v>80</v>
      </c>
      <c r="I119">
        <v>3</v>
      </c>
      <c r="J119">
        <v>1900</v>
      </c>
      <c r="K119">
        <v>0</v>
      </c>
      <c r="L119">
        <v>600</v>
      </c>
      <c r="M119" t="s">
        <v>48</v>
      </c>
      <c r="N119">
        <f t="shared" si="4"/>
        <v>5700</v>
      </c>
      <c r="O119">
        <f t="shared" si="5"/>
        <v>3900</v>
      </c>
      <c r="P119">
        <f t="shared" si="6"/>
        <v>7151417.5</v>
      </c>
      <c r="Q119">
        <f t="shared" si="7"/>
        <v>5465557.5</v>
      </c>
    </row>
    <row r="120" spans="1:17">
      <c r="A120" t="s">
        <v>344</v>
      </c>
      <c r="B120" s="1">
        <v>45819</v>
      </c>
      <c r="C120" t="s">
        <v>345</v>
      </c>
      <c r="D120" t="s">
        <v>346</v>
      </c>
      <c r="E120" t="s">
        <v>32</v>
      </c>
      <c r="F120" t="s">
        <v>17</v>
      </c>
      <c r="G120" t="s">
        <v>46</v>
      </c>
      <c r="H120" t="s">
        <v>340</v>
      </c>
      <c r="I120">
        <v>2</v>
      </c>
      <c r="J120">
        <v>1400</v>
      </c>
      <c r="K120">
        <v>0.15</v>
      </c>
      <c r="L120">
        <v>450</v>
      </c>
      <c r="M120" t="s">
        <v>48</v>
      </c>
      <c r="N120">
        <f t="shared" si="4"/>
        <v>2380</v>
      </c>
      <c r="O120">
        <f t="shared" si="5"/>
        <v>1480</v>
      </c>
      <c r="P120">
        <f t="shared" si="6"/>
        <v>7145717.5</v>
      </c>
      <c r="Q120">
        <f t="shared" si="7"/>
        <v>5461657.5</v>
      </c>
    </row>
    <row r="121" spans="1:17">
      <c r="A121" t="s">
        <v>347</v>
      </c>
      <c r="B121" s="1">
        <v>45722</v>
      </c>
      <c r="C121" t="s">
        <v>348</v>
      </c>
      <c r="D121" t="s">
        <v>83</v>
      </c>
      <c r="E121" t="s">
        <v>52</v>
      </c>
      <c r="F121" t="s">
        <v>25</v>
      </c>
      <c r="G121" t="s">
        <v>18</v>
      </c>
      <c r="H121" t="s">
        <v>19</v>
      </c>
      <c r="I121">
        <v>1</v>
      </c>
      <c r="J121">
        <v>1200</v>
      </c>
      <c r="K121">
        <v>0.1</v>
      </c>
      <c r="L121">
        <v>350</v>
      </c>
      <c r="M121" t="s">
        <v>20</v>
      </c>
      <c r="N121">
        <f t="shared" si="4"/>
        <v>1080</v>
      </c>
      <c r="O121">
        <f t="shared" si="5"/>
        <v>730</v>
      </c>
      <c r="P121">
        <f t="shared" si="6"/>
        <v>7143337.5</v>
      </c>
      <c r="Q121">
        <f t="shared" si="7"/>
        <v>5460177.5</v>
      </c>
    </row>
    <row r="122" spans="1:17">
      <c r="A122" t="s">
        <v>349</v>
      </c>
      <c r="B122" s="1">
        <v>46016</v>
      </c>
      <c r="C122" t="s">
        <v>350</v>
      </c>
      <c r="D122" t="s">
        <v>241</v>
      </c>
      <c r="E122" t="s">
        <v>32</v>
      </c>
      <c r="F122" t="s">
        <v>40</v>
      </c>
      <c r="G122" t="s">
        <v>46</v>
      </c>
      <c r="H122" t="s">
        <v>80</v>
      </c>
      <c r="I122">
        <v>4</v>
      </c>
      <c r="J122">
        <v>1900</v>
      </c>
      <c r="K122">
        <v>0.05</v>
      </c>
      <c r="L122">
        <v>600</v>
      </c>
      <c r="M122" t="s">
        <v>48</v>
      </c>
      <c r="N122">
        <f t="shared" si="4"/>
        <v>7220</v>
      </c>
      <c r="O122">
        <f t="shared" si="5"/>
        <v>4820</v>
      </c>
      <c r="P122">
        <f t="shared" si="6"/>
        <v>7142257.5</v>
      </c>
      <c r="Q122">
        <f t="shared" si="7"/>
        <v>5459447.5</v>
      </c>
    </row>
    <row r="123" spans="1:17">
      <c r="A123" t="s">
        <v>351</v>
      </c>
      <c r="B123" s="1">
        <v>45709</v>
      </c>
      <c r="C123" t="s">
        <v>352</v>
      </c>
      <c r="D123" t="s">
        <v>353</v>
      </c>
      <c r="E123" t="s">
        <v>39</v>
      </c>
      <c r="F123" t="s">
        <v>40</v>
      </c>
      <c r="G123" t="s">
        <v>34</v>
      </c>
      <c r="H123" t="s">
        <v>56</v>
      </c>
      <c r="I123">
        <v>1</v>
      </c>
      <c r="J123">
        <v>1800</v>
      </c>
      <c r="K123">
        <v>0.05</v>
      </c>
      <c r="L123">
        <v>650</v>
      </c>
      <c r="M123" t="s">
        <v>20</v>
      </c>
      <c r="N123">
        <f t="shared" si="4"/>
        <v>1710</v>
      </c>
      <c r="O123">
        <f t="shared" si="5"/>
        <v>1060</v>
      </c>
      <c r="P123">
        <f t="shared" si="6"/>
        <v>7135037.5</v>
      </c>
      <c r="Q123">
        <f t="shared" si="7"/>
        <v>5454627.5</v>
      </c>
    </row>
    <row r="124" spans="1:17">
      <c r="A124" t="s">
        <v>354</v>
      </c>
      <c r="B124" s="1">
        <v>45958</v>
      </c>
      <c r="C124" t="s">
        <v>62</v>
      </c>
      <c r="D124" t="s">
        <v>248</v>
      </c>
      <c r="E124" t="s">
        <v>84</v>
      </c>
      <c r="F124" t="s">
        <v>17</v>
      </c>
      <c r="G124" t="s">
        <v>26</v>
      </c>
      <c r="H124" t="s">
        <v>27</v>
      </c>
      <c r="I124">
        <v>3</v>
      </c>
      <c r="J124">
        <v>22000</v>
      </c>
      <c r="K124">
        <v>0.05</v>
      </c>
      <c r="L124">
        <v>5000</v>
      </c>
      <c r="M124" t="s">
        <v>28</v>
      </c>
      <c r="N124">
        <f t="shared" si="4"/>
        <v>62700</v>
      </c>
      <c r="O124">
        <f t="shared" si="5"/>
        <v>47700</v>
      </c>
      <c r="P124">
        <f t="shared" si="6"/>
        <v>7133327.5</v>
      </c>
      <c r="Q124">
        <f t="shared" si="7"/>
        <v>5453567.5</v>
      </c>
    </row>
    <row r="125" spans="1:17">
      <c r="A125" t="s">
        <v>355</v>
      </c>
      <c r="B125" s="1">
        <v>45704</v>
      </c>
      <c r="C125" t="s">
        <v>90</v>
      </c>
      <c r="D125" t="s">
        <v>238</v>
      </c>
      <c r="E125" t="s">
        <v>84</v>
      </c>
      <c r="F125" t="s">
        <v>17</v>
      </c>
      <c r="G125" t="s">
        <v>34</v>
      </c>
      <c r="H125" t="s">
        <v>35</v>
      </c>
      <c r="I125">
        <v>1</v>
      </c>
      <c r="J125">
        <v>18000</v>
      </c>
      <c r="K125">
        <v>0</v>
      </c>
      <c r="L125">
        <v>3000</v>
      </c>
      <c r="M125" t="s">
        <v>28</v>
      </c>
      <c r="N125">
        <f t="shared" si="4"/>
        <v>18000</v>
      </c>
      <c r="O125">
        <f t="shared" si="5"/>
        <v>15000</v>
      </c>
      <c r="P125">
        <f t="shared" si="6"/>
        <v>7070627.5</v>
      </c>
      <c r="Q125">
        <f t="shared" si="7"/>
        <v>5405867.5</v>
      </c>
    </row>
    <row r="126" spans="1:17">
      <c r="A126" t="s">
        <v>356</v>
      </c>
      <c r="B126" s="1">
        <v>45970</v>
      </c>
      <c r="C126" t="s">
        <v>256</v>
      </c>
      <c r="D126" t="s">
        <v>55</v>
      </c>
      <c r="E126" t="s">
        <v>16</v>
      </c>
      <c r="F126" t="s">
        <v>33</v>
      </c>
      <c r="G126" t="s">
        <v>18</v>
      </c>
      <c r="H126" t="s">
        <v>19</v>
      </c>
      <c r="I126">
        <v>4</v>
      </c>
      <c r="J126">
        <v>1200</v>
      </c>
      <c r="K126">
        <v>0.05</v>
      </c>
      <c r="L126">
        <v>350</v>
      </c>
      <c r="M126" t="s">
        <v>48</v>
      </c>
      <c r="N126">
        <f t="shared" si="4"/>
        <v>4560</v>
      </c>
      <c r="O126">
        <f t="shared" si="5"/>
        <v>3160</v>
      </c>
      <c r="P126">
        <f t="shared" si="6"/>
        <v>7052627.5</v>
      </c>
      <c r="Q126">
        <f t="shared" si="7"/>
        <v>5390867.5</v>
      </c>
    </row>
    <row r="127" spans="1:17">
      <c r="A127" t="s">
        <v>357</v>
      </c>
      <c r="B127" s="1">
        <v>45873</v>
      </c>
      <c r="C127" t="s">
        <v>358</v>
      </c>
      <c r="D127" t="s">
        <v>144</v>
      </c>
      <c r="E127" t="s">
        <v>118</v>
      </c>
      <c r="F127" t="s">
        <v>17</v>
      </c>
      <c r="G127" t="s">
        <v>34</v>
      </c>
      <c r="H127" t="s">
        <v>56</v>
      </c>
      <c r="I127">
        <v>3</v>
      </c>
      <c r="J127">
        <v>1800</v>
      </c>
      <c r="K127">
        <v>0.1</v>
      </c>
      <c r="L127">
        <v>650</v>
      </c>
      <c r="M127" t="s">
        <v>28</v>
      </c>
      <c r="N127">
        <f t="shared" si="4"/>
        <v>4860</v>
      </c>
      <c r="O127">
        <f t="shared" si="5"/>
        <v>2910</v>
      </c>
      <c r="P127">
        <f t="shared" si="6"/>
        <v>7048067.5</v>
      </c>
      <c r="Q127">
        <f t="shared" si="7"/>
        <v>5387707.5</v>
      </c>
    </row>
    <row r="128" spans="1:17">
      <c r="A128" t="s">
        <v>359</v>
      </c>
      <c r="B128" s="1">
        <v>45727</v>
      </c>
      <c r="C128" t="s">
        <v>210</v>
      </c>
      <c r="D128" t="s">
        <v>360</v>
      </c>
      <c r="E128" t="s">
        <v>45</v>
      </c>
      <c r="F128" t="s">
        <v>40</v>
      </c>
      <c r="G128" t="s">
        <v>46</v>
      </c>
      <c r="H128" t="s">
        <v>80</v>
      </c>
      <c r="I128">
        <v>5</v>
      </c>
      <c r="J128">
        <v>1900</v>
      </c>
      <c r="K128">
        <v>0</v>
      </c>
      <c r="L128">
        <v>600</v>
      </c>
      <c r="M128" t="s">
        <v>48</v>
      </c>
      <c r="N128">
        <f t="shared" si="4"/>
        <v>9500</v>
      </c>
      <c r="O128">
        <f t="shared" si="5"/>
        <v>6500</v>
      </c>
      <c r="P128">
        <f t="shared" si="6"/>
        <v>7043207.5</v>
      </c>
      <c r="Q128">
        <f t="shared" si="7"/>
        <v>5384797.5</v>
      </c>
    </row>
    <row r="129" spans="1:17">
      <c r="A129" t="s">
        <v>361</v>
      </c>
      <c r="B129" s="1">
        <v>45775</v>
      </c>
      <c r="C129" t="s">
        <v>362</v>
      </c>
      <c r="D129" t="s">
        <v>31</v>
      </c>
      <c r="E129" t="s">
        <v>16</v>
      </c>
      <c r="F129" t="s">
        <v>33</v>
      </c>
      <c r="G129" t="s">
        <v>34</v>
      </c>
      <c r="H129" t="s">
        <v>35</v>
      </c>
      <c r="I129">
        <v>5</v>
      </c>
      <c r="J129">
        <v>18000</v>
      </c>
      <c r="K129">
        <v>0</v>
      </c>
      <c r="L129">
        <v>3000</v>
      </c>
      <c r="M129" t="s">
        <v>28</v>
      </c>
      <c r="N129">
        <f t="shared" si="4"/>
        <v>90000</v>
      </c>
      <c r="O129">
        <f t="shared" si="5"/>
        <v>75000</v>
      </c>
      <c r="P129">
        <f t="shared" si="6"/>
        <v>7033707.5</v>
      </c>
      <c r="Q129">
        <f t="shared" si="7"/>
        <v>5378297.5</v>
      </c>
    </row>
    <row r="130" spans="1:17">
      <c r="A130" t="s">
        <v>363</v>
      </c>
      <c r="B130" s="1">
        <v>45825</v>
      </c>
      <c r="C130" t="s">
        <v>364</v>
      </c>
      <c r="D130" t="s">
        <v>267</v>
      </c>
      <c r="E130" t="s">
        <v>16</v>
      </c>
      <c r="F130" t="s">
        <v>17</v>
      </c>
      <c r="G130" t="s">
        <v>26</v>
      </c>
      <c r="H130" t="s">
        <v>27</v>
      </c>
      <c r="I130">
        <v>4</v>
      </c>
      <c r="J130">
        <v>22000</v>
      </c>
      <c r="K130">
        <v>0.05</v>
      </c>
      <c r="L130">
        <v>5000</v>
      </c>
      <c r="M130" t="s">
        <v>28</v>
      </c>
      <c r="N130">
        <f t="shared" ref="N130:N193" si="8">I130*J130*(1-K130)</f>
        <v>83600</v>
      </c>
      <c r="O130">
        <f t="shared" ref="O130:O193" si="9">N130-(L130*I130)</f>
        <v>63600</v>
      </c>
      <c r="P130">
        <f t="shared" ref="P130:P193" si="10">SUM(N130:N629)</f>
        <v>6943707.5</v>
      </c>
      <c r="Q130">
        <f t="shared" ref="Q130:Q193" si="11">SUM(O130:O629)</f>
        <v>5303297.5</v>
      </c>
    </row>
    <row r="131" spans="1:17">
      <c r="A131" t="s">
        <v>365</v>
      </c>
      <c r="B131" s="1">
        <v>46018</v>
      </c>
      <c r="C131" t="s">
        <v>309</v>
      </c>
      <c r="D131" t="s">
        <v>366</v>
      </c>
      <c r="E131" t="s">
        <v>84</v>
      </c>
      <c r="F131" t="s">
        <v>25</v>
      </c>
      <c r="G131" t="s">
        <v>34</v>
      </c>
      <c r="H131" t="s">
        <v>53</v>
      </c>
      <c r="I131">
        <v>4</v>
      </c>
      <c r="J131">
        <v>950</v>
      </c>
      <c r="K131">
        <v>0.15</v>
      </c>
      <c r="L131">
        <v>300</v>
      </c>
      <c r="M131" t="s">
        <v>48</v>
      </c>
      <c r="N131">
        <f t="shared" si="8"/>
        <v>3230</v>
      </c>
      <c r="O131">
        <f t="shared" si="9"/>
        <v>2030</v>
      </c>
      <c r="P131">
        <f t="shared" si="10"/>
        <v>6860107.5</v>
      </c>
      <c r="Q131">
        <f t="shared" si="11"/>
        <v>5239697.5</v>
      </c>
    </row>
    <row r="132" spans="1:17">
      <c r="A132" t="s">
        <v>367</v>
      </c>
      <c r="B132" s="1">
        <v>45699</v>
      </c>
      <c r="C132" t="s">
        <v>368</v>
      </c>
      <c r="D132" t="s">
        <v>155</v>
      </c>
      <c r="E132" t="s">
        <v>32</v>
      </c>
      <c r="F132" t="s">
        <v>25</v>
      </c>
      <c r="G132" t="s">
        <v>46</v>
      </c>
      <c r="H132" t="s">
        <v>60</v>
      </c>
      <c r="I132">
        <v>1</v>
      </c>
      <c r="J132">
        <v>2600</v>
      </c>
      <c r="K132">
        <v>0.1</v>
      </c>
      <c r="L132">
        <v>800</v>
      </c>
      <c r="M132" t="s">
        <v>48</v>
      </c>
      <c r="N132">
        <f t="shared" si="8"/>
        <v>2340</v>
      </c>
      <c r="O132">
        <f t="shared" si="9"/>
        <v>1540</v>
      </c>
      <c r="P132">
        <f t="shared" si="10"/>
        <v>6856877.5</v>
      </c>
      <c r="Q132">
        <f t="shared" si="11"/>
        <v>5237667.5</v>
      </c>
    </row>
    <row r="133" spans="1:17">
      <c r="A133" t="s">
        <v>369</v>
      </c>
      <c r="B133" s="1">
        <v>45707</v>
      </c>
      <c r="C133" t="s">
        <v>87</v>
      </c>
      <c r="D133" t="s">
        <v>171</v>
      </c>
      <c r="E133" t="s">
        <v>24</v>
      </c>
      <c r="F133" t="s">
        <v>17</v>
      </c>
      <c r="G133" t="s">
        <v>18</v>
      </c>
      <c r="H133" t="s">
        <v>85</v>
      </c>
      <c r="I133">
        <v>5</v>
      </c>
      <c r="J133">
        <v>350</v>
      </c>
      <c r="K133">
        <v>0.05</v>
      </c>
      <c r="L133">
        <v>100</v>
      </c>
      <c r="M133" t="s">
        <v>48</v>
      </c>
      <c r="N133">
        <f t="shared" si="8"/>
        <v>1662.5</v>
      </c>
      <c r="O133">
        <f t="shared" si="9"/>
        <v>1162.5</v>
      </c>
      <c r="P133">
        <f t="shared" si="10"/>
        <v>6854537.5</v>
      </c>
      <c r="Q133">
        <f t="shared" si="11"/>
        <v>5236127.5</v>
      </c>
    </row>
    <row r="134" spans="1:17">
      <c r="A134" t="s">
        <v>370</v>
      </c>
      <c r="B134" s="1">
        <v>45659</v>
      </c>
      <c r="C134" t="s">
        <v>90</v>
      </c>
      <c r="D134" t="s">
        <v>23</v>
      </c>
      <c r="E134" t="s">
        <v>84</v>
      </c>
      <c r="F134" t="s">
        <v>25</v>
      </c>
      <c r="G134" t="s">
        <v>34</v>
      </c>
      <c r="H134" t="s">
        <v>106</v>
      </c>
      <c r="I134">
        <v>1</v>
      </c>
      <c r="J134">
        <v>650</v>
      </c>
      <c r="K134">
        <v>0.1</v>
      </c>
      <c r="L134">
        <v>200</v>
      </c>
      <c r="M134" t="s">
        <v>20</v>
      </c>
      <c r="N134">
        <f t="shared" si="8"/>
        <v>585</v>
      </c>
      <c r="O134">
        <f t="shared" si="9"/>
        <v>385</v>
      </c>
      <c r="P134">
        <f t="shared" si="10"/>
        <v>6852875</v>
      </c>
      <c r="Q134">
        <f t="shared" si="11"/>
        <v>5234965</v>
      </c>
    </row>
    <row r="135" spans="1:17">
      <c r="A135" t="s">
        <v>371</v>
      </c>
      <c r="B135" s="1">
        <v>45909</v>
      </c>
      <c r="C135" t="s">
        <v>286</v>
      </c>
      <c r="D135" t="s">
        <v>254</v>
      </c>
      <c r="E135" t="s">
        <v>45</v>
      </c>
      <c r="F135" t="s">
        <v>40</v>
      </c>
      <c r="G135" t="s">
        <v>26</v>
      </c>
      <c r="H135" t="s">
        <v>153</v>
      </c>
      <c r="I135">
        <v>1</v>
      </c>
      <c r="J135">
        <v>4200</v>
      </c>
      <c r="K135">
        <v>0.1</v>
      </c>
      <c r="L135">
        <v>1000</v>
      </c>
      <c r="M135" t="s">
        <v>28</v>
      </c>
      <c r="N135">
        <f t="shared" si="8"/>
        <v>3780</v>
      </c>
      <c r="O135">
        <f t="shared" si="9"/>
        <v>2780</v>
      </c>
      <c r="P135">
        <f t="shared" si="10"/>
        <v>6852290</v>
      </c>
      <c r="Q135">
        <f t="shared" si="11"/>
        <v>5234580</v>
      </c>
    </row>
    <row r="136" spans="1:17">
      <c r="A136" t="s">
        <v>372</v>
      </c>
      <c r="B136" s="1">
        <v>45783</v>
      </c>
      <c r="C136" t="s">
        <v>350</v>
      </c>
      <c r="D136" t="s">
        <v>126</v>
      </c>
      <c r="E136" t="s">
        <v>45</v>
      </c>
      <c r="F136" t="s">
        <v>40</v>
      </c>
      <c r="G136" t="s">
        <v>18</v>
      </c>
      <c r="H136" t="s">
        <v>76</v>
      </c>
      <c r="I136">
        <v>1</v>
      </c>
      <c r="J136">
        <v>850</v>
      </c>
      <c r="K136">
        <v>0.05</v>
      </c>
      <c r="L136">
        <v>250</v>
      </c>
      <c r="M136" t="s">
        <v>20</v>
      </c>
      <c r="N136">
        <f t="shared" si="8"/>
        <v>807.5</v>
      </c>
      <c r="O136">
        <f t="shared" si="9"/>
        <v>557.5</v>
      </c>
      <c r="P136">
        <f t="shared" si="10"/>
        <v>6848510</v>
      </c>
      <c r="Q136">
        <f t="shared" si="11"/>
        <v>5231800</v>
      </c>
    </row>
    <row r="137" spans="1:17">
      <c r="A137" t="s">
        <v>373</v>
      </c>
      <c r="B137" s="1">
        <v>45974</v>
      </c>
      <c r="C137" t="s">
        <v>221</v>
      </c>
      <c r="D137" t="s">
        <v>310</v>
      </c>
      <c r="E137" t="s">
        <v>45</v>
      </c>
      <c r="F137" t="s">
        <v>17</v>
      </c>
      <c r="G137" t="s">
        <v>46</v>
      </c>
      <c r="H137" t="s">
        <v>60</v>
      </c>
      <c r="I137">
        <v>4</v>
      </c>
      <c r="J137">
        <v>2600</v>
      </c>
      <c r="K137">
        <v>0.15</v>
      </c>
      <c r="L137">
        <v>800</v>
      </c>
      <c r="M137" t="s">
        <v>28</v>
      </c>
      <c r="N137">
        <f t="shared" si="8"/>
        <v>8840</v>
      </c>
      <c r="O137">
        <f t="shared" si="9"/>
        <v>5640</v>
      </c>
      <c r="P137">
        <f t="shared" si="10"/>
        <v>6847702.5</v>
      </c>
      <c r="Q137">
        <f t="shared" si="11"/>
        <v>5231242.5</v>
      </c>
    </row>
    <row r="138" spans="1:17">
      <c r="A138" t="s">
        <v>374</v>
      </c>
      <c r="B138" s="1">
        <v>45770</v>
      </c>
      <c r="C138" t="s">
        <v>375</v>
      </c>
      <c r="D138" t="s">
        <v>376</v>
      </c>
      <c r="E138" t="s">
        <v>32</v>
      </c>
      <c r="F138" t="s">
        <v>17</v>
      </c>
      <c r="G138" t="s">
        <v>18</v>
      </c>
      <c r="H138" t="s">
        <v>136</v>
      </c>
      <c r="I138">
        <v>3</v>
      </c>
      <c r="J138">
        <v>2800</v>
      </c>
      <c r="K138">
        <v>0</v>
      </c>
      <c r="L138">
        <v>750</v>
      </c>
      <c r="M138" t="s">
        <v>20</v>
      </c>
      <c r="N138">
        <f t="shared" si="8"/>
        <v>8400</v>
      </c>
      <c r="O138">
        <f t="shared" si="9"/>
        <v>6150</v>
      </c>
      <c r="P138">
        <f t="shared" si="10"/>
        <v>6838862.5</v>
      </c>
      <c r="Q138">
        <f t="shared" si="11"/>
        <v>5225602.5</v>
      </c>
    </row>
    <row r="139" spans="1:17">
      <c r="A139" t="s">
        <v>377</v>
      </c>
      <c r="B139" s="1">
        <v>45665</v>
      </c>
      <c r="C139" t="s">
        <v>182</v>
      </c>
      <c r="D139" t="s">
        <v>378</v>
      </c>
      <c r="E139" t="s">
        <v>24</v>
      </c>
      <c r="F139" t="s">
        <v>25</v>
      </c>
      <c r="G139" t="s">
        <v>34</v>
      </c>
      <c r="H139" t="s">
        <v>106</v>
      </c>
      <c r="I139">
        <v>4</v>
      </c>
      <c r="J139">
        <v>650</v>
      </c>
      <c r="K139">
        <v>0.1</v>
      </c>
      <c r="L139">
        <v>200</v>
      </c>
      <c r="M139" t="s">
        <v>48</v>
      </c>
      <c r="N139">
        <f t="shared" si="8"/>
        <v>2340</v>
      </c>
      <c r="O139">
        <f t="shared" si="9"/>
        <v>1540</v>
      </c>
      <c r="P139">
        <f t="shared" si="10"/>
        <v>6830462.5</v>
      </c>
      <c r="Q139">
        <f t="shared" si="11"/>
        <v>5219452.5</v>
      </c>
    </row>
    <row r="140" spans="1:17">
      <c r="A140" t="s">
        <v>379</v>
      </c>
      <c r="B140" s="1">
        <v>45953</v>
      </c>
      <c r="C140" t="s">
        <v>143</v>
      </c>
      <c r="D140" t="s">
        <v>380</v>
      </c>
      <c r="E140" t="s">
        <v>118</v>
      </c>
      <c r="F140" t="s">
        <v>25</v>
      </c>
      <c r="G140" t="s">
        <v>46</v>
      </c>
      <c r="H140" t="s">
        <v>47</v>
      </c>
      <c r="I140">
        <v>1</v>
      </c>
      <c r="J140">
        <v>550</v>
      </c>
      <c r="K140">
        <v>0.15</v>
      </c>
      <c r="L140">
        <v>180</v>
      </c>
      <c r="M140" t="s">
        <v>20</v>
      </c>
      <c r="N140">
        <f t="shared" si="8"/>
        <v>467.5</v>
      </c>
      <c r="O140">
        <f t="shared" si="9"/>
        <v>287.5</v>
      </c>
      <c r="P140">
        <f t="shared" si="10"/>
        <v>6828122.5</v>
      </c>
      <c r="Q140">
        <f t="shared" si="11"/>
        <v>5217912.5</v>
      </c>
    </row>
    <row r="141" spans="1:17">
      <c r="A141" t="s">
        <v>381</v>
      </c>
      <c r="B141" s="1">
        <v>45853</v>
      </c>
      <c r="C141" t="s">
        <v>320</v>
      </c>
      <c r="D141" t="s">
        <v>301</v>
      </c>
      <c r="E141" t="s">
        <v>45</v>
      </c>
      <c r="F141" t="s">
        <v>17</v>
      </c>
      <c r="G141" t="s">
        <v>18</v>
      </c>
      <c r="H141" t="s">
        <v>70</v>
      </c>
      <c r="I141">
        <v>2</v>
      </c>
      <c r="J141">
        <v>2400</v>
      </c>
      <c r="K141">
        <v>0.1</v>
      </c>
      <c r="L141">
        <v>650</v>
      </c>
      <c r="M141" t="s">
        <v>20</v>
      </c>
      <c r="N141">
        <f t="shared" si="8"/>
        <v>4320</v>
      </c>
      <c r="O141">
        <f t="shared" si="9"/>
        <v>3020</v>
      </c>
      <c r="P141">
        <f t="shared" si="10"/>
        <v>6827655</v>
      </c>
      <c r="Q141">
        <f t="shared" si="11"/>
        <v>5217625</v>
      </c>
    </row>
    <row r="142" spans="1:17">
      <c r="A142" t="s">
        <v>382</v>
      </c>
      <c r="B142" s="1">
        <v>45940</v>
      </c>
      <c r="C142" t="s">
        <v>383</v>
      </c>
      <c r="D142" t="s">
        <v>234</v>
      </c>
      <c r="E142" t="s">
        <v>16</v>
      </c>
      <c r="F142" t="s">
        <v>25</v>
      </c>
      <c r="G142" t="s">
        <v>18</v>
      </c>
      <c r="H142" t="s">
        <v>85</v>
      </c>
      <c r="I142">
        <v>5</v>
      </c>
      <c r="J142">
        <v>350</v>
      </c>
      <c r="K142">
        <v>0</v>
      </c>
      <c r="L142">
        <v>100</v>
      </c>
      <c r="M142" t="s">
        <v>28</v>
      </c>
      <c r="N142">
        <f t="shared" si="8"/>
        <v>1750</v>
      </c>
      <c r="O142">
        <f t="shared" si="9"/>
        <v>1250</v>
      </c>
      <c r="P142">
        <f t="shared" si="10"/>
        <v>6823335</v>
      </c>
      <c r="Q142">
        <f t="shared" si="11"/>
        <v>5214605</v>
      </c>
    </row>
    <row r="143" spans="1:17">
      <c r="A143" t="s">
        <v>384</v>
      </c>
      <c r="B143" s="1">
        <v>45705</v>
      </c>
      <c r="C143" t="s">
        <v>78</v>
      </c>
      <c r="D143" t="s">
        <v>66</v>
      </c>
      <c r="E143" t="s">
        <v>32</v>
      </c>
      <c r="F143" t="s">
        <v>40</v>
      </c>
      <c r="G143" t="s">
        <v>26</v>
      </c>
      <c r="H143" t="s">
        <v>159</v>
      </c>
      <c r="I143">
        <v>4</v>
      </c>
      <c r="J143">
        <v>8500</v>
      </c>
      <c r="K143">
        <v>0.1</v>
      </c>
      <c r="L143">
        <v>2100</v>
      </c>
      <c r="M143" t="s">
        <v>20</v>
      </c>
      <c r="N143">
        <f t="shared" si="8"/>
        <v>30600</v>
      </c>
      <c r="O143">
        <f t="shared" si="9"/>
        <v>22200</v>
      </c>
      <c r="P143">
        <f t="shared" si="10"/>
        <v>6821585</v>
      </c>
      <c r="Q143">
        <f t="shared" si="11"/>
        <v>5213355</v>
      </c>
    </row>
    <row r="144" spans="1:17">
      <c r="A144" t="s">
        <v>385</v>
      </c>
      <c r="B144" s="1">
        <v>45771</v>
      </c>
      <c r="C144" t="s">
        <v>157</v>
      </c>
      <c r="D144" t="s">
        <v>180</v>
      </c>
      <c r="E144" t="s">
        <v>16</v>
      </c>
      <c r="F144" t="s">
        <v>33</v>
      </c>
      <c r="G144" t="s">
        <v>18</v>
      </c>
      <c r="H144" t="s">
        <v>70</v>
      </c>
      <c r="I144">
        <v>2</v>
      </c>
      <c r="J144">
        <v>2400</v>
      </c>
      <c r="K144">
        <v>0.05</v>
      </c>
      <c r="L144">
        <v>650</v>
      </c>
      <c r="M144" t="s">
        <v>28</v>
      </c>
      <c r="N144">
        <f t="shared" si="8"/>
        <v>4560</v>
      </c>
      <c r="O144">
        <f t="shared" si="9"/>
        <v>3260</v>
      </c>
      <c r="P144">
        <f t="shared" si="10"/>
        <v>6790985</v>
      </c>
      <c r="Q144">
        <f t="shared" si="11"/>
        <v>5191155</v>
      </c>
    </row>
    <row r="145" spans="1:17">
      <c r="A145" t="s">
        <v>386</v>
      </c>
      <c r="B145" s="1">
        <v>45873</v>
      </c>
      <c r="C145" t="s">
        <v>387</v>
      </c>
      <c r="D145" t="s">
        <v>161</v>
      </c>
      <c r="E145" t="s">
        <v>16</v>
      </c>
      <c r="F145" t="s">
        <v>33</v>
      </c>
      <c r="G145" t="s">
        <v>34</v>
      </c>
      <c r="H145" t="s">
        <v>41</v>
      </c>
      <c r="I145">
        <v>4</v>
      </c>
      <c r="J145">
        <v>52000</v>
      </c>
      <c r="K145">
        <v>0.15</v>
      </c>
      <c r="L145">
        <v>9000</v>
      </c>
      <c r="M145" t="s">
        <v>28</v>
      </c>
      <c r="N145">
        <f t="shared" si="8"/>
        <v>176800</v>
      </c>
      <c r="O145">
        <f t="shared" si="9"/>
        <v>140800</v>
      </c>
      <c r="P145">
        <f t="shared" si="10"/>
        <v>6786425</v>
      </c>
      <c r="Q145">
        <f t="shared" si="11"/>
        <v>5187895</v>
      </c>
    </row>
    <row r="146" spans="1:17">
      <c r="A146" t="s">
        <v>388</v>
      </c>
      <c r="B146" s="1">
        <v>45946</v>
      </c>
      <c r="C146" t="s">
        <v>389</v>
      </c>
      <c r="D146" t="s">
        <v>390</v>
      </c>
      <c r="E146" t="s">
        <v>84</v>
      </c>
      <c r="F146" t="s">
        <v>25</v>
      </c>
      <c r="G146" t="s">
        <v>18</v>
      </c>
      <c r="H146" t="s">
        <v>76</v>
      </c>
      <c r="I146">
        <v>2</v>
      </c>
      <c r="J146">
        <v>850</v>
      </c>
      <c r="K146">
        <v>0</v>
      </c>
      <c r="L146">
        <v>250</v>
      </c>
      <c r="M146" t="s">
        <v>28</v>
      </c>
      <c r="N146">
        <f t="shared" si="8"/>
        <v>1700</v>
      </c>
      <c r="O146">
        <f t="shared" si="9"/>
        <v>1200</v>
      </c>
      <c r="P146">
        <f t="shared" si="10"/>
        <v>6609625</v>
      </c>
      <c r="Q146">
        <f t="shared" si="11"/>
        <v>5047095</v>
      </c>
    </row>
    <row r="147" spans="1:17">
      <c r="A147" t="s">
        <v>391</v>
      </c>
      <c r="B147" s="1">
        <v>46017</v>
      </c>
      <c r="C147" t="s">
        <v>318</v>
      </c>
      <c r="D147" t="s">
        <v>392</v>
      </c>
      <c r="E147" t="s">
        <v>84</v>
      </c>
      <c r="F147" t="s">
        <v>25</v>
      </c>
      <c r="G147" t="s">
        <v>34</v>
      </c>
      <c r="H147" t="s">
        <v>35</v>
      </c>
      <c r="I147">
        <v>2</v>
      </c>
      <c r="J147">
        <v>18000</v>
      </c>
      <c r="K147">
        <v>0.1</v>
      </c>
      <c r="L147">
        <v>3000</v>
      </c>
      <c r="M147" t="s">
        <v>28</v>
      </c>
      <c r="N147">
        <f t="shared" si="8"/>
        <v>32400</v>
      </c>
      <c r="O147">
        <f t="shared" si="9"/>
        <v>26400</v>
      </c>
      <c r="P147">
        <f t="shared" si="10"/>
        <v>6607925</v>
      </c>
      <c r="Q147">
        <f t="shared" si="11"/>
        <v>5045895</v>
      </c>
    </row>
    <row r="148" spans="1:17">
      <c r="A148" t="s">
        <v>393</v>
      </c>
      <c r="B148" s="1">
        <v>45778</v>
      </c>
      <c r="C148" t="s">
        <v>179</v>
      </c>
      <c r="D148" t="s">
        <v>203</v>
      </c>
      <c r="E148" t="s">
        <v>16</v>
      </c>
      <c r="F148" t="s">
        <v>40</v>
      </c>
      <c r="G148" t="s">
        <v>34</v>
      </c>
      <c r="H148" t="s">
        <v>56</v>
      </c>
      <c r="I148">
        <v>2</v>
      </c>
      <c r="J148">
        <v>1800</v>
      </c>
      <c r="K148">
        <v>0.1</v>
      </c>
      <c r="L148">
        <v>650</v>
      </c>
      <c r="M148" t="s">
        <v>48</v>
      </c>
      <c r="N148">
        <f t="shared" si="8"/>
        <v>3240</v>
      </c>
      <c r="O148">
        <f t="shared" si="9"/>
        <v>1940</v>
      </c>
      <c r="P148">
        <f t="shared" si="10"/>
        <v>6575525</v>
      </c>
      <c r="Q148">
        <f t="shared" si="11"/>
        <v>5019495</v>
      </c>
    </row>
    <row r="149" spans="1:17">
      <c r="A149" t="s">
        <v>394</v>
      </c>
      <c r="B149" s="1">
        <v>45762</v>
      </c>
      <c r="C149" t="s">
        <v>294</v>
      </c>
      <c r="D149" t="s">
        <v>395</v>
      </c>
      <c r="E149" t="s">
        <v>45</v>
      </c>
      <c r="F149" t="s">
        <v>25</v>
      </c>
      <c r="G149" t="s">
        <v>18</v>
      </c>
      <c r="H149" t="s">
        <v>85</v>
      </c>
      <c r="I149">
        <v>2</v>
      </c>
      <c r="J149">
        <v>350</v>
      </c>
      <c r="K149">
        <v>0.15</v>
      </c>
      <c r="L149">
        <v>100</v>
      </c>
      <c r="M149" t="s">
        <v>48</v>
      </c>
      <c r="N149">
        <f t="shared" si="8"/>
        <v>595</v>
      </c>
      <c r="O149">
        <f t="shared" si="9"/>
        <v>395</v>
      </c>
      <c r="P149">
        <f t="shared" si="10"/>
        <v>6572285</v>
      </c>
      <c r="Q149">
        <f t="shared" si="11"/>
        <v>5017555</v>
      </c>
    </row>
    <row r="150" spans="1:17">
      <c r="A150" t="s">
        <v>396</v>
      </c>
      <c r="B150" s="1">
        <v>45961</v>
      </c>
      <c r="C150" t="s">
        <v>397</v>
      </c>
      <c r="D150" t="s">
        <v>398</v>
      </c>
      <c r="E150" t="s">
        <v>118</v>
      </c>
      <c r="F150" t="s">
        <v>33</v>
      </c>
      <c r="G150" t="s">
        <v>18</v>
      </c>
      <c r="H150" t="s">
        <v>19</v>
      </c>
      <c r="I150">
        <v>1</v>
      </c>
      <c r="J150">
        <v>1200</v>
      </c>
      <c r="K150">
        <v>0</v>
      </c>
      <c r="L150">
        <v>350</v>
      </c>
      <c r="M150" t="s">
        <v>28</v>
      </c>
      <c r="N150">
        <f t="shared" si="8"/>
        <v>1200</v>
      </c>
      <c r="O150">
        <f t="shared" si="9"/>
        <v>850</v>
      </c>
      <c r="P150">
        <f t="shared" si="10"/>
        <v>6571690</v>
      </c>
      <c r="Q150">
        <f t="shared" si="11"/>
        <v>5017160</v>
      </c>
    </row>
    <row r="151" spans="1:17">
      <c r="A151" t="s">
        <v>399</v>
      </c>
      <c r="B151" s="1">
        <v>45782</v>
      </c>
      <c r="C151" t="s">
        <v>134</v>
      </c>
      <c r="D151" t="s">
        <v>400</v>
      </c>
      <c r="E151" t="s">
        <v>52</v>
      </c>
      <c r="F151" t="s">
        <v>40</v>
      </c>
      <c r="G151" t="s">
        <v>18</v>
      </c>
      <c r="H151" t="s">
        <v>85</v>
      </c>
      <c r="I151">
        <v>4</v>
      </c>
      <c r="J151">
        <v>350</v>
      </c>
      <c r="K151">
        <v>0</v>
      </c>
      <c r="L151">
        <v>100</v>
      </c>
      <c r="M151" t="s">
        <v>48</v>
      </c>
      <c r="N151">
        <f t="shared" si="8"/>
        <v>1400</v>
      </c>
      <c r="O151">
        <f t="shared" si="9"/>
        <v>1000</v>
      </c>
      <c r="P151">
        <f t="shared" si="10"/>
        <v>6570490</v>
      </c>
      <c r="Q151">
        <f t="shared" si="11"/>
        <v>5016310</v>
      </c>
    </row>
    <row r="152" spans="1:17">
      <c r="A152" t="s">
        <v>401</v>
      </c>
      <c r="B152" s="1">
        <v>45667</v>
      </c>
      <c r="C152" t="s">
        <v>87</v>
      </c>
      <c r="D152" t="s">
        <v>402</v>
      </c>
      <c r="E152" t="s">
        <v>118</v>
      </c>
      <c r="F152" t="s">
        <v>25</v>
      </c>
      <c r="G152" t="s">
        <v>26</v>
      </c>
      <c r="H152" t="s">
        <v>27</v>
      </c>
      <c r="I152">
        <v>3</v>
      </c>
      <c r="J152">
        <v>22000</v>
      </c>
      <c r="K152">
        <v>0.05</v>
      </c>
      <c r="L152">
        <v>5000</v>
      </c>
      <c r="M152" t="s">
        <v>48</v>
      </c>
      <c r="N152">
        <f t="shared" si="8"/>
        <v>62700</v>
      </c>
      <c r="O152">
        <f t="shared" si="9"/>
        <v>47700</v>
      </c>
      <c r="P152">
        <f t="shared" si="10"/>
        <v>6569090</v>
      </c>
      <c r="Q152">
        <f t="shared" si="11"/>
        <v>5015310</v>
      </c>
    </row>
    <row r="153" spans="1:17">
      <c r="A153" t="s">
        <v>403</v>
      </c>
      <c r="B153" s="1">
        <v>45729</v>
      </c>
      <c r="C153" t="s">
        <v>345</v>
      </c>
      <c r="D153" t="s">
        <v>366</v>
      </c>
      <c r="E153" t="s">
        <v>24</v>
      </c>
      <c r="F153" t="s">
        <v>33</v>
      </c>
      <c r="G153" t="s">
        <v>46</v>
      </c>
      <c r="H153" t="s">
        <v>80</v>
      </c>
      <c r="I153">
        <v>2</v>
      </c>
      <c r="J153">
        <v>1900</v>
      </c>
      <c r="K153">
        <v>0.15</v>
      </c>
      <c r="L153">
        <v>600</v>
      </c>
      <c r="M153" t="s">
        <v>28</v>
      </c>
      <c r="N153">
        <f t="shared" si="8"/>
        <v>3230</v>
      </c>
      <c r="O153">
        <f t="shared" si="9"/>
        <v>2030</v>
      </c>
      <c r="P153">
        <f t="shared" si="10"/>
        <v>6506390</v>
      </c>
      <c r="Q153">
        <f t="shared" si="11"/>
        <v>4967610</v>
      </c>
    </row>
    <row r="154" spans="1:17">
      <c r="A154" t="s">
        <v>404</v>
      </c>
      <c r="B154" s="1">
        <v>45736</v>
      </c>
      <c r="C154" t="s">
        <v>405</v>
      </c>
      <c r="D154" t="s">
        <v>346</v>
      </c>
      <c r="E154" t="s">
        <v>39</v>
      </c>
      <c r="F154" t="s">
        <v>25</v>
      </c>
      <c r="G154" t="s">
        <v>26</v>
      </c>
      <c r="H154" t="s">
        <v>27</v>
      </c>
      <c r="I154">
        <v>1</v>
      </c>
      <c r="J154">
        <v>22000</v>
      </c>
      <c r="K154">
        <v>0.15</v>
      </c>
      <c r="L154">
        <v>5000</v>
      </c>
      <c r="M154" t="s">
        <v>28</v>
      </c>
      <c r="N154">
        <f t="shared" si="8"/>
        <v>18700</v>
      </c>
      <c r="O154">
        <f t="shared" si="9"/>
        <v>13700</v>
      </c>
      <c r="P154">
        <f t="shared" si="10"/>
        <v>6503160</v>
      </c>
      <c r="Q154">
        <f t="shared" si="11"/>
        <v>4965580</v>
      </c>
    </row>
    <row r="155" spans="1:17">
      <c r="A155" t="s">
        <v>406</v>
      </c>
      <c r="B155" s="1">
        <v>45667</v>
      </c>
      <c r="C155" t="s">
        <v>294</v>
      </c>
      <c r="D155" t="s">
        <v>407</v>
      </c>
      <c r="E155" t="s">
        <v>16</v>
      </c>
      <c r="F155" t="s">
        <v>40</v>
      </c>
      <c r="G155" t="s">
        <v>26</v>
      </c>
      <c r="H155" t="s">
        <v>92</v>
      </c>
      <c r="I155">
        <v>1</v>
      </c>
      <c r="J155">
        <v>15000</v>
      </c>
      <c r="K155">
        <v>0.1</v>
      </c>
      <c r="L155">
        <v>3500</v>
      </c>
      <c r="M155" t="s">
        <v>48</v>
      </c>
      <c r="N155">
        <f t="shared" si="8"/>
        <v>13500</v>
      </c>
      <c r="O155">
        <f t="shared" si="9"/>
        <v>10000</v>
      </c>
      <c r="P155">
        <f t="shared" si="10"/>
        <v>6484460</v>
      </c>
      <c r="Q155">
        <f t="shared" si="11"/>
        <v>4951880</v>
      </c>
    </row>
    <row r="156" spans="1:17">
      <c r="A156" t="s">
        <v>408</v>
      </c>
      <c r="B156" s="1">
        <v>45663</v>
      </c>
      <c r="C156" t="s">
        <v>245</v>
      </c>
      <c r="D156" t="s">
        <v>205</v>
      </c>
      <c r="E156" t="s">
        <v>39</v>
      </c>
      <c r="F156" t="s">
        <v>40</v>
      </c>
      <c r="G156" t="s">
        <v>18</v>
      </c>
      <c r="H156" t="s">
        <v>70</v>
      </c>
      <c r="I156">
        <v>5</v>
      </c>
      <c r="J156">
        <v>2400</v>
      </c>
      <c r="K156">
        <v>0</v>
      </c>
      <c r="L156">
        <v>650</v>
      </c>
      <c r="M156" t="s">
        <v>48</v>
      </c>
      <c r="N156">
        <f t="shared" si="8"/>
        <v>12000</v>
      </c>
      <c r="O156">
        <f t="shared" si="9"/>
        <v>8750</v>
      </c>
      <c r="P156">
        <f t="shared" si="10"/>
        <v>6470960</v>
      </c>
      <c r="Q156">
        <f t="shared" si="11"/>
        <v>4941880</v>
      </c>
    </row>
    <row r="157" spans="1:17">
      <c r="A157" t="s">
        <v>409</v>
      </c>
      <c r="B157" s="1">
        <v>45730</v>
      </c>
      <c r="C157" t="s">
        <v>383</v>
      </c>
      <c r="D157" t="s">
        <v>410</v>
      </c>
      <c r="E157" t="s">
        <v>16</v>
      </c>
      <c r="F157" t="s">
        <v>17</v>
      </c>
      <c r="G157" t="s">
        <v>46</v>
      </c>
      <c r="H157" t="s">
        <v>96</v>
      </c>
      <c r="I157">
        <v>1</v>
      </c>
      <c r="J157">
        <v>3200</v>
      </c>
      <c r="K157">
        <v>0</v>
      </c>
      <c r="L157">
        <v>950</v>
      </c>
      <c r="M157" t="s">
        <v>20</v>
      </c>
      <c r="N157">
        <f t="shared" si="8"/>
        <v>3200</v>
      </c>
      <c r="O157">
        <f t="shared" si="9"/>
        <v>2250</v>
      </c>
      <c r="P157">
        <f t="shared" si="10"/>
        <v>6458960</v>
      </c>
      <c r="Q157">
        <f t="shared" si="11"/>
        <v>4933130</v>
      </c>
    </row>
    <row r="158" spans="1:17">
      <c r="A158" t="s">
        <v>411</v>
      </c>
      <c r="B158" s="1">
        <v>45847</v>
      </c>
      <c r="C158" t="s">
        <v>87</v>
      </c>
      <c r="D158" t="s">
        <v>91</v>
      </c>
      <c r="E158" t="s">
        <v>52</v>
      </c>
      <c r="F158" t="s">
        <v>40</v>
      </c>
      <c r="G158" t="s">
        <v>18</v>
      </c>
      <c r="H158" t="s">
        <v>85</v>
      </c>
      <c r="I158">
        <v>1</v>
      </c>
      <c r="J158">
        <v>350</v>
      </c>
      <c r="K158">
        <v>0.1</v>
      </c>
      <c r="L158">
        <v>100</v>
      </c>
      <c r="M158" t="s">
        <v>48</v>
      </c>
      <c r="N158">
        <f t="shared" si="8"/>
        <v>315</v>
      </c>
      <c r="O158">
        <f t="shared" si="9"/>
        <v>215</v>
      </c>
      <c r="P158">
        <f t="shared" si="10"/>
        <v>6455760</v>
      </c>
      <c r="Q158">
        <f t="shared" si="11"/>
        <v>4930880</v>
      </c>
    </row>
    <row r="159" spans="1:17">
      <c r="A159" t="s">
        <v>412</v>
      </c>
      <c r="B159" s="1">
        <v>45844</v>
      </c>
      <c r="C159" t="s">
        <v>413</v>
      </c>
      <c r="D159" t="s">
        <v>414</v>
      </c>
      <c r="E159" t="s">
        <v>39</v>
      </c>
      <c r="F159" t="s">
        <v>33</v>
      </c>
      <c r="G159" t="s">
        <v>34</v>
      </c>
      <c r="H159" t="s">
        <v>56</v>
      </c>
      <c r="I159">
        <v>3</v>
      </c>
      <c r="J159">
        <v>1800</v>
      </c>
      <c r="K159">
        <v>0</v>
      </c>
      <c r="L159">
        <v>650</v>
      </c>
      <c r="M159" t="s">
        <v>28</v>
      </c>
      <c r="N159">
        <f t="shared" si="8"/>
        <v>5400</v>
      </c>
      <c r="O159">
        <f t="shared" si="9"/>
        <v>3450</v>
      </c>
      <c r="P159">
        <f t="shared" si="10"/>
        <v>6455445</v>
      </c>
      <c r="Q159">
        <f t="shared" si="11"/>
        <v>4930665</v>
      </c>
    </row>
    <row r="160" spans="1:17">
      <c r="A160" t="s">
        <v>415</v>
      </c>
      <c r="B160" s="1">
        <v>45747</v>
      </c>
      <c r="C160" t="s">
        <v>22</v>
      </c>
      <c r="D160" t="s">
        <v>416</v>
      </c>
      <c r="E160" t="s">
        <v>45</v>
      </c>
      <c r="F160" t="s">
        <v>25</v>
      </c>
      <c r="G160" t="s">
        <v>18</v>
      </c>
      <c r="H160" t="s">
        <v>19</v>
      </c>
      <c r="I160">
        <v>2</v>
      </c>
      <c r="J160">
        <v>1200</v>
      </c>
      <c r="K160">
        <v>0</v>
      </c>
      <c r="L160">
        <v>350</v>
      </c>
      <c r="M160" t="s">
        <v>28</v>
      </c>
      <c r="N160">
        <f t="shared" si="8"/>
        <v>2400</v>
      </c>
      <c r="O160">
        <f t="shared" si="9"/>
        <v>1700</v>
      </c>
      <c r="P160">
        <f t="shared" si="10"/>
        <v>6450045</v>
      </c>
      <c r="Q160">
        <f t="shared" si="11"/>
        <v>4927215</v>
      </c>
    </row>
    <row r="161" spans="1:17">
      <c r="A161" t="s">
        <v>417</v>
      </c>
      <c r="B161" s="1">
        <v>45995</v>
      </c>
      <c r="C161" t="s">
        <v>418</v>
      </c>
      <c r="D161" t="s">
        <v>419</v>
      </c>
      <c r="E161" t="s">
        <v>52</v>
      </c>
      <c r="F161" t="s">
        <v>25</v>
      </c>
      <c r="G161" t="s">
        <v>46</v>
      </c>
      <c r="H161" t="s">
        <v>340</v>
      </c>
      <c r="I161">
        <v>2</v>
      </c>
      <c r="J161">
        <v>1400</v>
      </c>
      <c r="K161">
        <v>0.15</v>
      </c>
      <c r="L161">
        <v>450</v>
      </c>
      <c r="M161" t="s">
        <v>28</v>
      </c>
      <c r="N161">
        <f t="shared" si="8"/>
        <v>2380</v>
      </c>
      <c r="O161">
        <f t="shared" si="9"/>
        <v>1480</v>
      </c>
      <c r="P161">
        <f t="shared" si="10"/>
        <v>6447645</v>
      </c>
      <c r="Q161">
        <f t="shared" si="11"/>
        <v>4925515</v>
      </c>
    </row>
    <row r="162" spans="1:17">
      <c r="A162" t="s">
        <v>420</v>
      </c>
      <c r="B162" s="1">
        <v>45975</v>
      </c>
      <c r="C162" t="s">
        <v>219</v>
      </c>
      <c r="D162" t="s">
        <v>241</v>
      </c>
      <c r="E162" t="s">
        <v>84</v>
      </c>
      <c r="F162" t="s">
        <v>40</v>
      </c>
      <c r="G162" t="s">
        <v>46</v>
      </c>
      <c r="H162" t="s">
        <v>47</v>
      </c>
      <c r="I162">
        <v>3</v>
      </c>
      <c r="J162">
        <v>550</v>
      </c>
      <c r="K162">
        <v>0</v>
      </c>
      <c r="L162">
        <v>180</v>
      </c>
      <c r="M162" t="s">
        <v>28</v>
      </c>
      <c r="N162">
        <f t="shared" si="8"/>
        <v>1650</v>
      </c>
      <c r="O162">
        <f t="shared" si="9"/>
        <v>1110</v>
      </c>
      <c r="P162">
        <f t="shared" si="10"/>
        <v>6445265</v>
      </c>
      <c r="Q162">
        <f t="shared" si="11"/>
        <v>4924035</v>
      </c>
    </row>
    <row r="163" spans="1:17">
      <c r="A163" t="s">
        <v>421</v>
      </c>
      <c r="B163" s="1">
        <v>45784</v>
      </c>
      <c r="C163" t="s">
        <v>94</v>
      </c>
      <c r="D163" t="s">
        <v>164</v>
      </c>
      <c r="E163" t="s">
        <v>45</v>
      </c>
      <c r="F163" t="s">
        <v>25</v>
      </c>
      <c r="G163" t="s">
        <v>46</v>
      </c>
      <c r="H163" t="s">
        <v>80</v>
      </c>
      <c r="I163">
        <v>3</v>
      </c>
      <c r="J163">
        <v>1900</v>
      </c>
      <c r="K163">
        <v>0.1</v>
      </c>
      <c r="L163">
        <v>600</v>
      </c>
      <c r="M163" t="s">
        <v>48</v>
      </c>
      <c r="N163">
        <f t="shared" si="8"/>
        <v>5130</v>
      </c>
      <c r="O163">
        <f t="shared" si="9"/>
        <v>3330</v>
      </c>
      <c r="P163">
        <f t="shared" si="10"/>
        <v>6443615</v>
      </c>
      <c r="Q163">
        <f t="shared" si="11"/>
        <v>4922925</v>
      </c>
    </row>
    <row r="164" spans="1:17">
      <c r="A164" t="s">
        <v>422</v>
      </c>
      <c r="B164" s="1">
        <v>45951</v>
      </c>
      <c r="C164" t="s">
        <v>58</v>
      </c>
      <c r="D164" t="s">
        <v>304</v>
      </c>
      <c r="E164" t="s">
        <v>24</v>
      </c>
      <c r="F164" t="s">
        <v>25</v>
      </c>
      <c r="G164" t="s">
        <v>46</v>
      </c>
      <c r="H164" t="s">
        <v>47</v>
      </c>
      <c r="I164">
        <v>1</v>
      </c>
      <c r="J164">
        <v>550</v>
      </c>
      <c r="K164">
        <v>0.05</v>
      </c>
      <c r="L164">
        <v>180</v>
      </c>
      <c r="M164" t="s">
        <v>48</v>
      </c>
      <c r="N164">
        <f t="shared" si="8"/>
        <v>522.5</v>
      </c>
      <c r="O164">
        <f t="shared" si="9"/>
        <v>342.5</v>
      </c>
      <c r="P164">
        <f t="shared" si="10"/>
        <v>6438485</v>
      </c>
      <c r="Q164">
        <f t="shared" si="11"/>
        <v>4919595</v>
      </c>
    </row>
    <row r="165" spans="1:17">
      <c r="A165" t="s">
        <v>423</v>
      </c>
      <c r="B165" s="1">
        <v>45794</v>
      </c>
      <c r="C165" t="s">
        <v>424</v>
      </c>
      <c r="D165" t="s">
        <v>295</v>
      </c>
      <c r="E165" t="s">
        <v>39</v>
      </c>
      <c r="F165" t="s">
        <v>25</v>
      </c>
      <c r="G165" t="s">
        <v>34</v>
      </c>
      <c r="H165" t="s">
        <v>106</v>
      </c>
      <c r="I165">
        <v>2</v>
      </c>
      <c r="J165">
        <v>650</v>
      </c>
      <c r="K165">
        <v>0.05</v>
      </c>
      <c r="L165">
        <v>200</v>
      </c>
      <c r="M165" t="s">
        <v>20</v>
      </c>
      <c r="N165">
        <f t="shared" si="8"/>
        <v>1235</v>
      </c>
      <c r="O165">
        <f t="shared" si="9"/>
        <v>835</v>
      </c>
      <c r="P165">
        <f t="shared" si="10"/>
        <v>6437962.5</v>
      </c>
      <c r="Q165">
        <f t="shared" si="11"/>
        <v>4919252.5</v>
      </c>
    </row>
    <row r="166" spans="1:17">
      <c r="A166" t="s">
        <v>425</v>
      </c>
      <c r="B166" s="1">
        <v>45920</v>
      </c>
      <c r="C166" t="s">
        <v>247</v>
      </c>
      <c r="D166" t="s">
        <v>183</v>
      </c>
      <c r="E166" t="s">
        <v>52</v>
      </c>
      <c r="F166" t="s">
        <v>40</v>
      </c>
      <c r="G166" t="s">
        <v>46</v>
      </c>
      <c r="H166" t="s">
        <v>340</v>
      </c>
      <c r="I166">
        <v>2</v>
      </c>
      <c r="J166">
        <v>1400</v>
      </c>
      <c r="K166">
        <v>0.1</v>
      </c>
      <c r="L166">
        <v>450</v>
      </c>
      <c r="M166" t="s">
        <v>28</v>
      </c>
      <c r="N166">
        <f t="shared" si="8"/>
        <v>2520</v>
      </c>
      <c r="O166">
        <f t="shared" si="9"/>
        <v>1620</v>
      </c>
      <c r="P166">
        <f t="shared" si="10"/>
        <v>6436727.5</v>
      </c>
      <c r="Q166">
        <f t="shared" si="11"/>
        <v>4918417.5</v>
      </c>
    </row>
    <row r="167" spans="1:17">
      <c r="A167" t="s">
        <v>426</v>
      </c>
      <c r="B167" s="1">
        <v>45939</v>
      </c>
      <c r="C167" t="s">
        <v>427</v>
      </c>
      <c r="D167" t="s">
        <v>83</v>
      </c>
      <c r="E167" t="s">
        <v>32</v>
      </c>
      <c r="F167" t="s">
        <v>17</v>
      </c>
      <c r="G167" t="s">
        <v>18</v>
      </c>
      <c r="H167" t="s">
        <v>76</v>
      </c>
      <c r="I167">
        <v>1</v>
      </c>
      <c r="J167">
        <v>850</v>
      </c>
      <c r="K167">
        <v>0</v>
      </c>
      <c r="L167">
        <v>250</v>
      </c>
      <c r="M167" t="s">
        <v>28</v>
      </c>
      <c r="N167">
        <f t="shared" si="8"/>
        <v>850</v>
      </c>
      <c r="O167">
        <f t="shared" si="9"/>
        <v>600</v>
      </c>
      <c r="P167">
        <f t="shared" si="10"/>
        <v>6434207.5</v>
      </c>
      <c r="Q167">
        <f t="shared" si="11"/>
        <v>4916797.5</v>
      </c>
    </row>
    <row r="168" spans="1:17">
      <c r="A168" t="s">
        <v>428</v>
      </c>
      <c r="B168" s="1">
        <v>45676</v>
      </c>
      <c r="C168" t="s">
        <v>429</v>
      </c>
      <c r="D168" t="s">
        <v>99</v>
      </c>
      <c r="E168" t="s">
        <v>45</v>
      </c>
      <c r="F168" t="s">
        <v>17</v>
      </c>
      <c r="G168" t="s">
        <v>18</v>
      </c>
      <c r="H168" t="s">
        <v>76</v>
      </c>
      <c r="I168">
        <v>2</v>
      </c>
      <c r="J168">
        <v>850</v>
      </c>
      <c r="K168">
        <v>0.15</v>
      </c>
      <c r="L168">
        <v>250</v>
      </c>
      <c r="M168" t="s">
        <v>28</v>
      </c>
      <c r="N168">
        <f t="shared" si="8"/>
        <v>1445</v>
      </c>
      <c r="O168">
        <f t="shared" si="9"/>
        <v>945</v>
      </c>
      <c r="P168">
        <f t="shared" si="10"/>
        <v>6433357.5</v>
      </c>
      <c r="Q168">
        <f t="shared" si="11"/>
        <v>4916197.5</v>
      </c>
    </row>
    <row r="169" spans="1:17">
      <c r="A169" t="s">
        <v>430</v>
      </c>
      <c r="B169" s="1">
        <v>45968</v>
      </c>
      <c r="C169" t="s">
        <v>87</v>
      </c>
      <c r="D169" t="s">
        <v>88</v>
      </c>
      <c r="E169" t="s">
        <v>39</v>
      </c>
      <c r="F169" t="s">
        <v>33</v>
      </c>
      <c r="G169" t="s">
        <v>46</v>
      </c>
      <c r="H169" t="s">
        <v>96</v>
      </c>
      <c r="I169">
        <v>3</v>
      </c>
      <c r="J169">
        <v>3200</v>
      </c>
      <c r="K169">
        <v>0.1</v>
      </c>
      <c r="L169">
        <v>950</v>
      </c>
      <c r="M169" t="s">
        <v>20</v>
      </c>
      <c r="N169">
        <f t="shared" si="8"/>
        <v>8640</v>
      </c>
      <c r="O169">
        <f t="shared" si="9"/>
        <v>5790</v>
      </c>
      <c r="P169">
        <f t="shared" si="10"/>
        <v>6431912.5</v>
      </c>
      <c r="Q169">
        <f t="shared" si="11"/>
        <v>4915252.5</v>
      </c>
    </row>
    <row r="170" spans="1:17">
      <c r="A170" t="s">
        <v>431</v>
      </c>
      <c r="B170" s="1">
        <v>45909</v>
      </c>
      <c r="C170" t="s">
        <v>149</v>
      </c>
      <c r="D170" t="s">
        <v>55</v>
      </c>
      <c r="E170" t="s">
        <v>45</v>
      </c>
      <c r="F170" t="s">
        <v>25</v>
      </c>
      <c r="G170" t="s">
        <v>34</v>
      </c>
      <c r="H170" t="s">
        <v>106</v>
      </c>
      <c r="I170">
        <v>5</v>
      </c>
      <c r="J170">
        <v>650</v>
      </c>
      <c r="K170">
        <v>0.1</v>
      </c>
      <c r="L170">
        <v>200</v>
      </c>
      <c r="M170" t="s">
        <v>48</v>
      </c>
      <c r="N170">
        <f t="shared" si="8"/>
        <v>2925</v>
      </c>
      <c r="O170">
        <f t="shared" si="9"/>
        <v>1925</v>
      </c>
      <c r="P170">
        <f t="shared" si="10"/>
        <v>6423272.5</v>
      </c>
      <c r="Q170">
        <f t="shared" si="11"/>
        <v>4909462.5</v>
      </c>
    </row>
    <row r="171" spans="1:17">
      <c r="A171" t="s">
        <v>432</v>
      </c>
      <c r="B171" s="1">
        <v>45962</v>
      </c>
      <c r="C171" t="s">
        <v>433</v>
      </c>
      <c r="D171" t="s">
        <v>434</v>
      </c>
      <c r="E171" t="s">
        <v>118</v>
      </c>
      <c r="F171" t="s">
        <v>25</v>
      </c>
      <c r="G171" t="s">
        <v>34</v>
      </c>
      <c r="H171" t="s">
        <v>56</v>
      </c>
      <c r="I171">
        <v>3</v>
      </c>
      <c r="J171">
        <v>1800</v>
      </c>
      <c r="K171">
        <v>0.1</v>
      </c>
      <c r="L171">
        <v>650</v>
      </c>
      <c r="M171" t="s">
        <v>48</v>
      </c>
      <c r="N171">
        <f t="shared" si="8"/>
        <v>4860</v>
      </c>
      <c r="O171">
        <f t="shared" si="9"/>
        <v>2910</v>
      </c>
      <c r="P171">
        <f t="shared" si="10"/>
        <v>6420347.5</v>
      </c>
      <c r="Q171">
        <f t="shared" si="11"/>
        <v>4907537.5</v>
      </c>
    </row>
    <row r="172" spans="1:17">
      <c r="A172" t="s">
        <v>435</v>
      </c>
      <c r="B172" s="1">
        <v>45741</v>
      </c>
      <c r="C172" t="s">
        <v>436</v>
      </c>
      <c r="D172" t="s">
        <v>254</v>
      </c>
      <c r="E172" t="s">
        <v>118</v>
      </c>
      <c r="F172" t="s">
        <v>25</v>
      </c>
      <c r="G172" t="s">
        <v>34</v>
      </c>
      <c r="H172" t="s">
        <v>35</v>
      </c>
      <c r="I172">
        <v>1</v>
      </c>
      <c r="J172">
        <v>18000</v>
      </c>
      <c r="K172">
        <v>0</v>
      </c>
      <c r="L172">
        <v>3000</v>
      </c>
      <c r="M172" t="s">
        <v>48</v>
      </c>
      <c r="N172">
        <f t="shared" si="8"/>
        <v>18000</v>
      </c>
      <c r="O172">
        <f t="shared" si="9"/>
        <v>15000</v>
      </c>
      <c r="P172">
        <f t="shared" si="10"/>
        <v>6415487.5</v>
      </c>
      <c r="Q172">
        <f t="shared" si="11"/>
        <v>4904627.5</v>
      </c>
    </row>
    <row r="173" spans="1:17">
      <c r="A173" t="s">
        <v>437</v>
      </c>
      <c r="B173" s="1">
        <v>45844</v>
      </c>
      <c r="C173" t="s">
        <v>294</v>
      </c>
      <c r="D173" t="s">
        <v>438</v>
      </c>
      <c r="E173" t="s">
        <v>16</v>
      </c>
      <c r="F173" t="s">
        <v>40</v>
      </c>
      <c r="G173" t="s">
        <v>26</v>
      </c>
      <c r="H173" t="s">
        <v>153</v>
      </c>
      <c r="I173">
        <v>5</v>
      </c>
      <c r="J173">
        <v>4200</v>
      </c>
      <c r="K173">
        <v>0</v>
      </c>
      <c r="L173">
        <v>1000</v>
      </c>
      <c r="M173" t="s">
        <v>48</v>
      </c>
      <c r="N173">
        <f t="shared" si="8"/>
        <v>21000</v>
      </c>
      <c r="O173">
        <f t="shared" si="9"/>
        <v>16000</v>
      </c>
      <c r="P173">
        <f t="shared" si="10"/>
        <v>6397487.5</v>
      </c>
      <c r="Q173">
        <f t="shared" si="11"/>
        <v>4889627.5</v>
      </c>
    </row>
    <row r="174" spans="1:17">
      <c r="A174" t="s">
        <v>439</v>
      </c>
      <c r="B174" s="1">
        <v>45811</v>
      </c>
      <c r="C174" t="s">
        <v>339</v>
      </c>
      <c r="D174" t="s">
        <v>440</v>
      </c>
      <c r="E174" t="s">
        <v>32</v>
      </c>
      <c r="F174" t="s">
        <v>17</v>
      </c>
      <c r="G174" t="s">
        <v>26</v>
      </c>
      <c r="H174" t="s">
        <v>92</v>
      </c>
      <c r="I174">
        <v>4</v>
      </c>
      <c r="J174">
        <v>15000</v>
      </c>
      <c r="K174">
        <v>0</v>
      </c>
      <c r="L174">
        <v>3500</v>
      </c>
      <c r="M174" t="s">
        <v>20</v>
      </c>
      <c r="N174">
        <f t="shared" si="8"/>
        <v>60000</v>
      </c>
      <c r="O174">
        <f t="shared" si="9"/>
        <v>46000</v>
      </c>
      <c r="P174">
        <f t="shared" si="10"/>
        <v>6376487.5</v>
      </c>
      <c r="Q174">
        <f t="shared" si="11"/>
        <v>4873627.5</v>
      </c>
    </row>
    <row r="175" spans="1:17">
      <c r="A175" t="s">
        <v>441</v>
      </c>
      <c r="B175" s="1">
        <v>45931</v>
      </c>
      <c r="C175" t="s">
        <v>306</v>
      </c>
      <c r="D175" t="s">
        <v>174</v>
      </c>
      <c r="E175" t="s">
        <v>24</v>
      </c>
      <c r="F175" t="s">
        <v>25</v>
      </c>
      <c r="G175" t="s">
        <v>18</v>
      </c>
      <c r="H175" t="s">
        <v>76</v>
      </c>
      <c r="I175">
        <v>4</v>
      </c>
      <c r="J175">
        <v>850</v>
      </c>
      <c r="K175">
        <v>0</v>
      </c>
      <c r="L175">
        <v>250</v>
      </c>
      <c r="M175" t="s">
        <v>20</v>
      </c>
      <c r="N175">
        <f t="shared" si="8"/>
        <v>3400</v>
      </c>
      <c r="O175">
        <f t="shared" si="9"/>
        <v>2400</v>
      </c>
      <c r="P175">
        <f t="shared" si="10"/>
        <v>6316487.5</v>
      </c>
      <c r="Q175">
        <f t="shared" si="11"/>
        <v>4827627.5</v>
      </c>
    </row>
    <row r="176" spans="1:17">
      <c r="A176" t="s">
        <v>442</v>
      </c>
      <c r="B176" s="1">
        <v>45741</v>
      </c>
      <c r="C176" t="s">
        <v>443</v>
      </c>
      <c r="D176" t="s">
        <v>281</v>
      </c>
      <c r="E176" t="s">
        <v>118</v>
      </c>
      <c r="F176" t="s">
        <v>40</v>
      </c>
      <c r="G176" t="s">
        <v>26</v>
      </c>
      <c r="H176" t="s">
        <v>159</v>
      </c>
      <c r="I176">
        <v>4</v>
      </c>
      <c r="J176">
        <v>8500</v>
      </c>
      <c r="K176">
        <v>0</v>
      </c>
      <c r="L176">
        <v>2100</v>
      </c>
      <c r="M176" t="s">
        <v>20</v>
      </c>
      <c r="N176">
        <f t="shared" si="8"/>
        <v>34000</v>
      </c>
      <c r="O176">
        <f t="shared" si="9"/>
        <v>25600</v>
      </c>
      <c r="P176">
        <f t="shared" si="10"/>
        <v>6313087.5</v>
      </c>
      <c r="Q176">
        <f t="shared" si="11"/>
        <v>4825227.5</v>
      </c>
    </row>
    <row r="177" spans="1:17">
      <c r="A177" t="s">
        <v>444</v>
      </c>
      <c r="B177" s="1">
        <v>45810</v>
      </c>
      <c r="C177" t="s">
        <v>445</v>
      </c>
      <c r="D177" t="s">
        <v>446</v>
      </c>
      <c r="E177" t="s">
        <v>16</v>
      </c>
      <c r="F177" t="s">
        <v>40</v>
      </c>
      <c r="G177" t="s">
        <v>18</v>
      </c>
      <c r="H177" t="s">
        <v>136</v>
      </c>
      <c r="I177">
        <v>4</v>
      </c>
      <c r="J177">
        <v>2800</v>
      </c>
      <c r="K177">
        <v>0.15</v>
      </c>
      <c r="L177">
        <v>750</v>
      </c>
      <c r="M177" t="s">
        <v>28</v>
      </c>
      <c r="N177">
        <f t="shared" si="8"/>
        <v>9520</v>
      </c>
      <c r="O177">
        <f t="shared" si="9"/>
        <v>6520</v>
      </c>
      <c r="P177">
        <f t="shared" si="10"/>
        <v>6279087.5</v>
      </c>
      <c r="Q177">
        <f t="shared" si="11"/>
        <v>4799627.5</v>
      </c>
    </row>
    <row r="178" spans="1:17">
      <c r="A178" t="s">
        <v>447</v>
      </c>
      <c r="B178" s="1">
        <v>45937</v>
      </c>
      <c r="C178" t="s">
        <v>342</v>
      </c>
      <c r="D178" t="s">
        <v>200</v>
      </c>
      <c r="E178" t="s">
        <v>32</v>
      </c>
      <c r="F178" t="s">
        <v>17</v>
      </c>
      <c r="G178" t="s">
        <v>26</v>
      </c>
      <c r="H178" t="s">
        <v>448</v>
      </c>
      <c r="I178">
        <v>2</v>
      </c>
      <c r="J178">
        <v>6500</v>
      </c>
      <c r="K178">
        <v>0</v>
      </c>
      <c r="L178">
        <v>1600</v>
      </c>
      <c r="M178" t="s">
        <v>20</v>
      </c>
      <c r="N178">
        <f t="shared" si="8"/>
        <v>13000</v>
      </c>
      <c r="O178">
        <f t="shared" si="9"/>
        <v>9800</v>
      </c>
      <c r="P178">
        <f t="shared" si="10"/>
        <v>6269567.5</v>
      </c>
      <c r="Q178">
        <f t="shared" si="11"/>
        <v>4793107.5</v>
      </c>
    </row>
    <row r="179" spans="1:17">
      <c r="A179" t="s">
        <v>449</v>
      </c>
      <c r="B179" s="1">
        <v>45819</v>
      </c>
      <c r="C179" t="s">
        <v>43</v>
      </c>
      <c r="D179" t="s">
        <v>129</v>
      </c>
      <c r="E179" t="s">
        <v>118</v>
      </c>
      <c r="F179" t="s">
        <v>17</v>
      </c>
      <c r="G179" t="s">
        <v>26</v>
      </c>
      <c r="H179" t="s">
        <v>448</v>
      </c>
      <c r="I179">
        <v>1</v>
      </c>
      <c r="J179">
        <v>6500</v>
      </c>
      <c r="K179">
        <v>0</v>
      </c>
      <c r="L179">
        <v>1600</v>
      </c>
      <c r="M179" t="s">
        <v>48</v>
      </c>
      <c r="N179">
        <f t="shared" si="8"/>
        <v>6500</v>
      </c>
      <c r="O179">
        <f t="shared" si="9"/>
        <v>4900</v>
      </c>
      <c r="P179">
        <f t="shared" si="10"/>
        <v>6256567.5</v>
      </c>
      <c r="Q179">
        <f t="shared" si="11"/>
        <v>4783307.5</v>
      </c>
    </row>
    <row r="180" spans="1:17">
      <c r="A180" t="s">
        <v>450</v>
      </c>
      <c r="B180" s="1">
        <v>46022</v>
      </c>
      <c r="C180" t="s">
        <v>134</v>
      </c>
      <c r="D180" t="s">
        <v>451</v>
      </c>
      <c r="E180" t="s">
        <v>84</v>
      </c>
      <c r="F180" t="s">
        <v>17</v>
      </c>
      <c r="G180" t="s">
        <v>26</v>
      </c>
      <c r="H180" t="s">
        <v>159</v>
      </c>
      <c r="I180">
        <v>4</v>
      </c>
      <c r="J180">
        <v>8500</v>
      </c>
      <c r="K180">
        <v>0</v>
      </c>
      <c r="L180">
        <v>2100</v>
      </c>
      <c r="M180" t="s">
        <v>48</v>
      </c>
      <c r="N180">
        <f t="shared" si="8"/>
        <v>34000</v>
      </c>
      <c r="O180">
        <f t="shared" si="9"/>
        <v>25600</v>
      </c>
      <c r="P180">
        <f t="shared" si="10"/>
        <v>6250067.5</v>
      </c>
      <c r="Q180">
        <f t="shared" si="11"/>
        <v>4778407.5</v>
      </c>
    </row>
    <row r="181" spans="1:17">
      <c r="A181" t="s">
        <v>452</v>
      </c>
      <c r="B181" s="1">
        <v>45905</v>
      </c>
      <c r="C181" t="s">
        <v>453</v>
      </c>
      <c r="D181" t="s">
        <v>229</v>
      </c>
      <c r="E181" t="s">
        <v>84</v>
      </c>
      <c r="F181" t="s">
        <v>25</v>
      </c>
      <c r="G181" t="s">
        <v>26</v>
      </c>
      <c r="H181" t="s">
        <v>159</v>
      </c>
      <c r="I181">
        <v>4</v>
      </c>
      <c r="J181">
        <v>8500</v>
      </c>
      <c r="K181">
        <v>0.1</v>
      </c>
      <c r="L181">
        <v>2100</v>
      </c>
      <c r="M181" t="s">
        <v>20</v>
      </c>
      <c r="N181">
        <f t="shared" si="8"/>
        <v>30600</v>
      </c>
      <c r="O181">
        <f t="shared" si="9"/>
        <v>22200</v>
      </c>
      <c r="P181">
        <f t="shared" si="10"/>
        <v>6216067.5</v>
      </c>
      <c r="Q181">
        <f t="shared" si="11"/>
        <v>4752807.5</v>
      </c>
    </row>
    <row r="182" spans="1:17">
      <c r="A182" t="s">
        <v>454</v>
      </c>
      <c r="B182" s="1">
        <v>45665</v>
      </c>
      <c r="C182" t="s">
        <v>455</v>
      </c>
      <c r="D182" t="s">
        <v>456</v>
      </c>
      <c r="E182" t="s">
        <v>24</v>
      </c>
      <c r="F182" t="s">
        <v>33</v>
      </c>
      <c r="G182" t="s">
        <v>26</v>
      </c>
      <c r="H182" t="s">
        <v>27</v>
      </c>
      <c r="I182">
        <v>1</v>
      </c>
      <c r="J182">
        <v>22000</v>
      </c>
      <c r="K182">
        <v>0.1</v>
      </c>
      <c r="L182">
        <v>5000</v>
      </c>
      <c r="M182" t="s">
        <v>20</v>
      </c>
      <c r="N182">
        <f t="shared" si="8"/>
        <v>19800</v>
      </c>
      <c r="O182">
        <f t="shared" si="9"/>
        <v>14800</v>
      </c>
      <c r="P182">
        <f t="shared" si="10"/>
        <v>6185467.5</v>
      </c>
      <c r="Q182">
        <f t="shared" si="11"/>
        <v>4730607.5</v>
      </c>
    </row>
    <row r="183" spans="1:17">
      <c r="A183" t="s">
        <v>457</v>
      </c>
      <c r="B183" s="1">
        <v>45987</v>
      </c>
      <c r="C183" t="s">
        <v>458</v>
      </c>
      <c r="D183" t="s">
        <v>459</v>
      </c>
      <c r="E183" t="s">
        <v>84</v>
      </c>
      <c r="F183" t="s">
        <v>40</v>
      </c>
      <c r="G183" t="s">
        <v>46</v>
      </c>
      <c r="H183" t="s">
        <v>340</v>
      </c>
      <c r="I183">
        <v>4</v>
      </c>
      <c r="J183">
        <v>1400</v>
      </c>
      <c r="K183">
        <v>0.05</v>
      </c>
      <c r="L183">
        <v>450</v>
      </c>
      <c r="M183" t="s">
        <v>28</v>
      </c>
      <c r="N183">
        <f t="shared" si="8"/>
        <v>5320</v>
      </c>
      <c r="O183">
        <f t="shared" si="9"/>
        <v>3520</v>
      </c>
      <c r="P183">
        <f t="shared" si="10"/>
        <v>6165667.5</v>
      </c>
      <c r="Q183">
        <f t="shared" si="11"/>
        <v>4715807.5</v>
      </c>
    </row>
    <row r="184" spans="1:17">
      <c r="A184" t="s">
        <v>460</v>
      </c>
      <c r="B184" s="1">
        <v>45880</v>
      </c>
      <c r="C184" t="s">
        <v>461</v>
      </c>
      <c r="D184" t="s">
        <v>462</v>
      </c>
      <c r="E184" t="s">
        <v>39</v>
      </c>
      <c r="F184" t="s">
        <v>17</v>
      </c>
      <c r="G184" t="s">
        <v>34</v>
      </c>
      <c r="H184" t="s">
        <v>56</v>
      </c>
      <c r="I184">
        <v>1</v>
      </c>
      <c r="J184">
        <v>1800</v>
      </c>
      <c r="K184">
        <v>0.1</v>
      </c>
      <c r="L184">
        <v>650</v>
      </c>
      <c r="M184" t="s">
        <v>48</v>
      </c>
      <c r="N184">
        <f t="shared" si="8"/>
        <v>1620</v>
      </c>
      <c r="O184">
        <f t="shared" si="9"/>
        <v>970</v>
      </c>
      <c r="P184">
        <f t="shared" si="10"/>
        <v>6160347.5</v>
      </c>
      <c r="Q184">
        <f t="shared" si="11"/>
        <v>4712287.5</v>
      </c>
    </row>
    <row r="185" spans="1:17">
      <c r="A185" t="s">
        <v>463</v>
      </c>
      <c r="B185" s="1">
        <v>45971</v>
      </c>
      <c r="C185" t="s">
        <v>272</v>
      </c>
      <c r="D185" t="s">
        <v>464</v>
      </c>
      <c r="E185" t="s">
        <v>39</v>
      </c>
      <c r="F185" t="s">
        <v>33</v>
      </c>
      <c r="G185" t="s">
        <v>34</v>
      </c>
      <c r="H185" t="s">
        <v>53</v>
      </c>
      <c r="I185">
        <v>2</v>
      </c>
      <c r="J185">
        <v>950</v>
      </c>
      <c r="K185">
        <v>0.15</v>
      </c>
      <c r="L185">
        <v>300</v>
      </c>
      <c r="M185" t="s">
        <v>48</v>
      </c>
      <c r="N185">
        <f t="shared" si="8"/>
        <v>1615</v>
      </c>
      <c r="O185">
        <f t="shared" si="9"/>
        <v>1015</v>
      </c>
      <c r="P185">
        <f t="shared" si="10"/>
        <v>6158727.5</v>
      </c>
      <c r="Q185">
        <f t="shared" si="11"/>
        <v>4711317.5</v>
      </c>
    </row>
    <row r="186" spans="1:17">
      <c r="A186" t="s">
        <v>465</v>
      </c>
      <c r="B186" s="1">
        <v>45957</v>
      </c>
      <c r="C186" t="s">
        <v>429</v>
      </c>
      <c r="D186" t="s">
        <v>466</v>
      </c>
      <c r="E186" t="s">
        <v>118</v>
      </c>
      <c r="F186" t="s">
        <v>25</v>
      </c>
      <c r="G186" t="s">
        <v>18</v>
      </c>
      <c r="H186" t="s">
        <v>76</v>
      </c>
      <c r="I186">
        <v>5</v>
      </c>
      <c r="J186">
        <v>850</v>
      </c>
      <c r="K186">
        <v>0.1</v>
      </c>
      <c r="L186">
        <v>250</v>
      </c>
      <c r="M186" t="s">
        <v>48</v>
      </c>
      <c r="N186">
        <f t="shared" si="8"/>
        <v>3825</v>
      </c>
      <c r="O186">
        <f t="shared" si="9"/>
        <v>2575</v>
      </c>
      <c r="P186">
        <f t="shared" si="10"/>
        <v>6157112.5</v>
      </c>
      <c r="Q186">
        <f t="shared" si="11"/>
        <v>4710302.5</v>
      </c>
    </row>
    <row r="187" spans="1:17">
      <c r="A187" t="s">
        <v>467</v>
      </c>
      <c r="B187" s="1">
        <v>45859</v>
      </c>
      <c r="C187" t="s">
        <v>342</v>
      </c>
      <c r="D187" t="s">
        <v>158</v>
      </c>
      <c r="E187" t="s">
        <v>118</v>
      </c>
      <c r="F187" t="s">
        <v>33</v>
      </c>
      <c r="G187" t="s">
        <v>34</v>
      </c>
      <c r="H187" t="s">
        <v>41</v>
      </c>
      <c r="I187">
        <v>5</v>
      </c>
      <c r="J187">
        <v>52000</v>
      </c>
      <c r="K187">
        <v>0.05</v>
      </c>
      <c r="L187">
        <v>9000</v>
      </c>
      <c r="M187" t="s">
        <v>20</v>
      </c>
      <c r="N187">
        <f t="shared" si="8"/>
        <v>247000</v>
      </c>
      <c r="O187">
        <f t="shared" si="9"/>
        <v>202000</v>
      </c>
      <c r="P187">
        <f t="shared" si="10"/>
        <v>6153287.5</v>
      </c>
      <c r="Q187">
        <f t="shared" si="11"/>
        <v>4707727.5</v>
      </c>
    </row>
    <row r="188" spans="1:17">
      <c r="A188" t="s">
        <v>468</v>
      </c>
      <c r="B188" s="1">
        <v>45737</v>
      </c>
      <c r="C188" t="s">
        <v>30</v>
      </c>
      <c r="D188" t="s">
        <v>241</v>
      </c>
      <c r="E188" t="s">
        <v>84</v>
      </c>
      <c r="F188" t="s">
        <v>40</v>
      </c>
      <c r="G188" t="s">
        <v>34</v>
      </c>
      <c r="H188" t="s">
        <v>53</v>
      </c>
      <c r="I188">
        <v>2</v>
      </c>
      <c r="J188">
        <v>950</v>
      </c>
      <c r="K188">
        <v>0.05</v>
      </c>
      <c r="L188">
        <v>300</v>
      </c>
      <c r="M188" t="s">
        <v>20</v>
      </c>
      <c r="N188">
        <f t="shared" si="8"/>
        <v>1805</v>
      </c>
      <c r="O188">
        <f t="shared" si="9"/>
        <v>1205</v>
      </c>
      <c r="P188">
        <f t="shared" si="10"/>
        <v>5906287.5</v>
      </c>
      <c r="Q188">
        <f t="shared" si="11"/>
        <v>4505727.5</v>
      </c>
    </row>
    <row r="189" spans="1:17">
      <c r="A189" t="s">
        <v>469</v>
      </c>
      <c r="B189" s="1">
        <v>45758</v>
      </c>
      <c r="C189" t="s">
        <v>461</v>
      </c>
      <c r="D189" t="s">
        <v>281</v>
      </c>
      <c r="E189" t="s">
        <v>16</v>
      </c>
      <c r="F189" t="s">
        <v>40</v>
      </c>
      <c r="G189" t="s">
        <v>26</v>
      </c>
      <c r="H189" t="s">
        <v>153</v>
      </c>
      <c r="I189">
        <v>2</v>
      </c>
      <c r="J189">
        <v>4200</v>
      </c>
      <c r="K189">
        <v>0.15</v>
      </c>
      <c r="L189">
        <v>1000</v>
      </c>
      <c r="M189" t="s">
        <v>28</v>
      </c>
      <c r="N189">
        <f t="shared" si="8"/>
        <v>7140</v>
      </c>
      <c r="O189">
        <f t="shared" si="9"/>
        <v>5140</v>
      </c>
      <c r="P189">
        <f t="shared" si="10"/>
        <v>5904482.5</v>
      </c>
      <c r="Q189">
        <f t="shared" si="11"/>
        <v>4504522.5</v>
      </c>
    </row>
    <row r="190" spans="1:17">
      <c r="A190" t="s">
        <v>470</v>
      </c>
      <c r="B190" s="1">
        <v>45783</v>
      </c>
      <c r="C190" t="s">
        <v>471</v>
      </c>
      <c r="D190" t="s">
        <v>378</v>
      </c>
      <c r="E190" t="s">
        <v>32</v>
      </c>
      <c r="F190" t="s">
        <v>17</v>
      </c>
      <c r="G190" t="s">
        <v>46</v>
      </c>
      <c r="H190" t="s">
        <v>60</v>
      </c>
      <c r="I190">
        <v>2</v>
      </c>
      <c r="J190">
        <v>2600</v>
      </c>
      <c r="K190">
        <v>0</v>
      </c>
      <c r="L190">
        <v>800</v>
      </c>
      <c r="M190" t="s">
        <v>20</v>
      </c>
      <c r="N190">
        <f t="shared" si="8"/>
        <v>5200</v>
      </c>
      <c r="O190">
        <f t="shared" si="9"/>
        <v>3600</v>
      </c>
      <c r="P190">
        <f t="shared" si="10"/>
        <v>5897342.5</v>
      </c>
      <c r="Q190">
        <f t="shared" si="11"/>
        <v>4499382.5</v>
      </c>
    </row>
    <row r="191" spans="1:17">
      <c r="A191" t="s">
        <v>472</v>
      </c>
      <c r="B191" s="1">
        <v>45807</v>
      </c>
      <c r="C191" t="s">
        <v>300</v>
      </c>
      <c r="D191" t="s">
        <v>193</v>
      </c>
      <c r="E191" t="s">
        <v>16</v>
      </c>
      <c r="F191" t="s">
        <v>33</v>
      </c>
      <c r="G191" t="s">
        <v>18</v>
      </c>
      <c r="H191" t="s">
        <v>19</v>
      </c>
      <c r="I191">
        <v>4</v>
      </c>
      <c r="J191">
        <v>1200</v>
      </c>
      <c r="K191">
        <v>0.05</v>
      </c>
      <c r="L191">
        <v>350</v>
      </c>
      <c r="M191" t="s">
        <v>48</v>
      </c>
      <c r="N191">
        <f t="shared" si="8"/>
        <v>4560</v>
      </c>
      <c r="O191">
        <f t="shared" si="9"/>
        <v>3160</v>
      </c>
      <c r="P191">
        <f t="shared" si="10"/>
        <v>5892142.5</v>
      </c>
      <c r="Q191">
        <f t="shared" si="11"/>
        <v>4495782.5</v>
      </c>
    </row>
    <row r="192" spans="1:17">
      <c r="A192" t="s">
        <v>473</v>
      </c>
      <c r="B192" s="1">
        <v>45984</v>
      </c>
      <c r="C192" t="s">
        <v>474</v>
      </c>
      <c r="D192" t="s">
        <v>475</v>
      </c>
      <c r="E192" t="s">
        <v>52</v>
      </c>
      <c r="F192" t="s">
        <v>17</v>
      </c>
      <c r="G192" t="s">
        <v>18</v>
      </c>
      <c r="H192" t="s">
        <v>19</v>
      </c>
      <c r="I192">
        <v>2</v>
      </c>
      <c r="J192">
        <v>1200</v>
      </c>
      <c r="K192">
        <v>0</v>
      </c>
      <c r="L192">
        <v>350</v>
      </c>
      <c r="M192" t="s">
        <v>48</v>
      </c>
      <c r="N192">
        <f t="shared" si="8"/>
        <v>2400</v>
      </c>
      <c r="O192">
        <f t="shared" si="9"/>
        <v>1700</v>
      </c>
      <c r="P192">
        <f t="shared" si="10"/>
        <v>5887582.5</v>
      </c>
      <c r="Q192">
        <f t="shared" si="11"/>
        <v>4492622.5</v>
      </c>
    </row>
    <row r="193" spans="1:17">
      <c r="A193" t="s">
        <v>476</v>
      </c>
      <c r="B193" s="1">
        <v>45748</v>
      </c>
      <c r="C193" t="s">
        <v>477</v>
      </c>
      <c r="D193" t="s">
        <v>478</v>
      </c>
      <c r="E193" t="s">
        <v>52</v>
      </c>
      <c r="F193" t="s">
        <v>17</v>
      </c>
      <c r="G193" t="s">
        <v>46</v>
      </c>
      <c r="H193" t="s">
        <v>47</v>
      </c>
      <c r="I193">
        <v>3</v>
      </c>
      <c r="J193">
        <v>550</v>
      </c>
      <c r="K193">
        <v>0</v>
      </c>
      <c r="L193">
        <v>180</v>
      </c>
      <c r="M193" t="s">
        <v>20</v>
      </c>
      <c r="N193">
        <f t="shared" si="8"/>
        <v>1650</v>
      </c>
      <c r="O193">
        <f t="shared" si="9"/>
        <v>1110</v>
      </c>
      <c r="P193">
        <f t="shared" si="10"/>
        <v>5885182.5</v>
      </c>
      <c r="Q193">
        <f t="shared" si="11"/>
        <v>4490922.5</v>
      </c>
    </row>
    <row r="194" spans="1:17">
      <c r="A194" t="s">
        <v>479</v>
      </c>
      <c r="B194" s="1">
        <v>45756</v>
      </c>
      <c r="C194" t="s">
        <v>157</v>
      </c>
      <c r="D194" t="s">
        <v>480</v>
      </c>
      <c r="E194" t="s">
        <v>45</v>
      </c>
      <c r="F194" t="s">
        <v>17</v>
      </c>
      <c r="G194" t="s">
        <v>18</v>
      </c>
      <c r="H194" t="s">
        <v>136</v>
      </c>
      <c r="I194">
        <v>5</v>
      </c>
      <c r="J194">
        <v>2800</v>
      </c>
      <c r="K194">
        <v>0</v>
      </c>
      <c r="L194">
        <v>750</v>
      </c>
      <c r="M194" t="s">
        <v>20</v>
      </c>
      <c r="N194">
        <f t="shared" ref="N194:N257" si="12">I194*J194*(1-K194)</f>
        <v>14000</v>
      </c>
      <c r="O194">
        <f t="shared" ref="O194:O257" si="13">N194-(L194*I194)</f>
        <v>10250</v>
      </c>
      <c r="P194">
        <f t="shared" ref="P194:P257" si="14">SUM(N194:N693)</f>
        <v>5883532.5</v>
      </c>
      <c r="Q194">
        <f t="shared" ref="Q194:Q257" si="15">SUM(O194:O693)</f>
        <v>4489812.5</v>
      </c>
    </row>
    <row r="195" spans="1:17">
      <c r="A195" t="s">
        <v>481</v>
      </c>
      <c r="B195" s="1">
        <v>45680</v>
      </c>
      <c r="C195" t="s">
        <v>482</v>
      </c>
      <c r="D195" t="s">
        <v>31</v>
      </c>
      <c r="E195" t="s">
        <v>118</v>
      </c>
      <c r="F195" t="s">
        <v>40</v>
      </c>
      <c r="G195" t="s">
        <v>26</v>
      </c>
      <c r="H195" t="s">
        <v>27</v>
      </c>
      <c r="I195">
        <v>5</v>
      </c>
      <c r="J195">
        <v>22000</v>
      </c>
      <c r="K195">
        <v>0</v>
      </c>
      <c r="L195">
        <v>5000</v>
      </c>
      <c r="M195" t="s">
        <v>20</v>
      </c>
      <c r="N195">
        <f t="shared" si="12"/>
        <v>110000</v>
      </c>
      <c r="O195">
        <f t="shared" si="13"/>
        <v>85000</v>
      </c>
      <c r="P195">
        <f t="shared" si="14"/>
        <v>5869532.5</v>
      </c>
      <c r="Q195">
        <f t="shared" si="15"/>
        <v>4479562.5</v>
      </c>
    </row>
    <row r="196" spans="1:17">
      <c r="A196" t="s">
        <v>483</v>
      </c>
      <c r="B196" s="1">
        <v>45706</v>
      </c>
      <c r="C196" t="s">
        <v>375</v>
      </c>
      <c r="D196" t="s">
        <v>226</v>
      </c>
      <c r="E196" t="s">
        <v>45</v>
      </c>
      <c r="F196" t="s">
        <v>33</v>
      </c>
      <c r="G196" t="s">
        <v>26</v>
      </c>
      <c r="H196" t="s">
        <v>153</v>
      </c>
      <c r="I196">
        <v>4</v>
      </c>
      <c r="J196">
        <v>4200</v>
      </c>
      <c r="K196">
        <v>0</v>
      </c>
      <c r="L196">
        <v>1000</v>
      </c>
      <c r="M196" t="s">
        <v>48</v>
      </c>
      <c r="N196">
        <f t="shared" si="12"/>
        <v>16800</v>
      </c>
      <c r="O196">
        <f t="shared" si="13"/>
        <v>12800</v>
      </c>
      <c r="P196">
        <f t="shared" si="14"/>
        <v>5759532.5</v>
      </c>
      <c r="Q196">
        <f t="shared" si="15"/>
        <v>4394562.5</v>
      </c>
    </row>
    <row r="197" spans="1:17">
      <c r="A197" t="s">
        <v>484</v>
      </c>
      <c r="B197" s="1">
        <v>45753</v>
      </c>
      <c r="C197" t="s">
        <v>166</v>
      </c>
      <c r="D197" t="s">
        <v>438</v>
      </c>
      <c r="E197" t="s">
        <v>39</v>
      </c>
      <c r="F197" t="s">
        <v>25</v>
      </c>
      <c r="G197" t="s">
        <v>26</v>
      </c>
      <c r="H197" t="s">
        <v>27</v>
      </c>
      <c r="I197">
        <v>2</v>
      </c>
      <c r="J197">
        <v>22000</v>
      </c>
      <c r="K197">
        <v>0</v>
      </c>
      <c r="L197">
        <v>5000</v>
      </c>
      <c r="M197" t="s">
        <v>20</v>
      </c>
      <c r="N197">
        <f t="shared" si="12"/>
        <v>44000</v>
      </c>
      <c r="O197">
        <f t="shared" si="13"/>
        <v>34000</v>
      </c>
      <c r="P197">
        <f t="shared" si="14"/>
        <v>5742732.5</v>
      </c>
      <c r="Q197">
        <f t="shared" si="15"/>
        <v>4381762.5</v>
      </c>
    </row>
    <row r="198" spans="1:17">
      <c r="A198" t="s">
        <v>485</v>
      </c>
      <c r="B198" s="1">
        <v>45694</v>
      </c>
      <c r="C198" t="s">
        <v>486</v>
      </c>
      <c r="D198" t="s">
        <v>292</v>
      </c>
      <c r="E198" t="s">
        <v>16</v>
      </c>
      <c r="F198" t="s">
        <v>25</v>
      </c>
      <c r="G198" t="s">
        <v>18</v>
      </c>
      <c r="H198" t="s">
        <v>76</v>
      </c>
      <c r="I198">
        <v>5</v>
      </c>
      <c r="J198">
        <v>850</v>
      </c>
      <c r="K198">
        <v>0.05</v>
      </c>
      <c r="L198">
        <v>250</v>
      </c>
      <c r="M198" t="s">
        <v>48</v>
      </c>
      <c r="N198">
        <f t="shared" si="12"/>
        <v>4037.5</v>
      </c>
      <c r="O198">
        <f t="shared" si="13"/>
        <v>2787.5</v>
      </c>
      <c r="P198">
        <f t="shared" si="14"/>
        <v>5698732.5</v>
      </c>
      <c r="Q198">
        <f t="shared" si="15"/>
        <v>4347762.5</v>
      </c>
    </row>
    <row r="199" spans="1:17">
      <c r="A199" t="s">
        <v>487</v>
      </c>
      <c r="B199" s="1">
        <v>45842</v>
      </c>
      <c r="C199" t="s">
        <v>182</v>
      </c>
      <c r="D199" t="s">
        <v>488</v>
      </c>
      <c r="E199" t="s">
        <v>45</v>
      </c>
      <c r="F199" t="s">
        <v>33</v>
      </c>
      <c r="G199" t="s">
        <v>18</v>
      </c>
      <c r="H199" t="s">
        <v>136</v>
      </c>
      <c r="I199">
        <v>5</v>
      </c>
      <c r="J199">
        <v>2800</v>
      </c>
      <c r="K199">
        <v>0</v>
      </c>
      <c r="L199">
        <v>750</v>
      </c>
      <c r="M199" t="s">
        <v>20</v>
      </c>
      <c r="N199">
        <f t="shared" si="12"/>
        <v>14000</v>
      </c>
      <c r="O199">
        <f t="shared" si="13"/>
        <v>10250</v>
      </c>
      <c r="P199">
        <f t="shared" si="14"/>
        <v>5694695</v>
      </c>
      <c r="Q199">
        <f t="shared" si="15"/>
        <v>4344975</v>
      </c>
    </row>
    <row r="200" spans="1:17">
      <c r="A200" t="s">
        <v>489</v>
      </c>
      <c r="B200" s="1">
        <v>45770</v>
      </c>
      <c r="C200" t="s">
        <v>240</v>
      </c>
      <c r="D200" t="s">
        <v>234</v>
      </c>
      <c r="E200" t="s">
        <v>118</v>
      </c>
      <c r="F200" t="s">
        <v>17</v>
      </c>
      <c r="G200" t="s">
        <v>34</v>
      </c>
      <c r="H200" t="s">
        <v>56</v>
      </c>
      <c r="I200">
        <v>5</v>
      </c>
      <c r="J200">
        <v>1800</v>
      </c>
      <c r="K200">
        <v>0</v>
      </c>
      <c r="L200">
        <v>650</v>
      </c>
      <c r="M200" t="s">
        <v>48</v>
      </c>
      <c r="N200">
        <f t="shared" si="12"/>
        <v>9000</v>
      </c>
      <c r="O200">
        <f t="shared" si="13"/>
        <v>5750</v>
      </c>
      <c r="P200">
        <f t="shared" si="14"/>
        <v>5680695</v>
      </c>
      <c r="Q200">
        <f t="shared" si="15"/>
        <v>4334725</v>
      </c>
    </row>
    <row r="201" spans="1:17">
      <c r="A201" t="s">
        <v>490</v>
      </c>
      <c r="B201" s="1">
        <v>45776</v>
      </c>
      <c r="C201" t="s">
        <v>443</v>
      </c>
      <c r="D201" t="s">
        <v>491</v>
      </c>
      <c r="E201" t="s">
        <v>45</v>
      </c>
      <c r="F201" t="s">
        <v>17</v>
      </c>
      <c r="G201" t="s">
        <v>26</v>
      </c>
      <c r="H201" t="s">
        <v>448</v>
      </c>
      <c r="I201">
        <v>1</v>
      </c>
      <c r="J201">
        <v>6500</v>
      </c>
      <c r="K201">
        <v>0</v>
      </c>
      <c r="L201">
        <v>1600</v>
      </c>
      <c r="M201" t="s">
        <v>48</v>
      </c>
      <c r="N201">
        <f t="shared" si="12"/>
        <v>6500</v>
      </c>
      <c r="O201">
        <f t="shared" si="13"/>
        <v>4900</v>
      </c>
      <c r="P201">
        <f t="shared" si="14"/>
        <v>5671695</v>
      </c>
      <c r="Q201">
        <f t="shared" si="15"/>
        <v>4328975</v>
      </c>
    </row>
    <row r="202" spans="1:17">
      <c r="A202" t="s">
        <v>492</v>
      </c>
      <c r="B202" s="1">
        <v>45986</v>
      </c>
      <c r="C202" t="s">
        <v>213</v>
      </c>
      <c r="D202" t="s">
        <v>392</v>
      </c>
      <c r="E202" t="s">
        <v>52</v>
      </c>
      <c r="F202" t="s">
        <v>25</v>
      </c>
      <c r="G202" t="s">
        <v>26</v>
      </c>
      <c r="H202" t="s">
        <v>153</v>
      </c>
      <c r="I202">
        <v>3</v>
      </c>
      <c r="J202">
        <v>4200</v>
      </c>
      <c r="K202">
        <v>0.05</v>
      </c>
      <c r="L202">
        <v>1000</v>
      </c>
      <c r="M202" t="s">
        <v>48</v>
      </c>
      <c r="N202">
        <f t="shared" si="12"/>
        <v>11970</v>
      </c>
      <c r="O202">
        <f t="shared" si="13"/>
        <v>8970</v>
      </c>
      <c r="P202">
        <f t="shared" si="14"/>
        <v>5665195</v>
      </c>
      <c r="Q202">
        <f t="shared" si="15"/>
        <v>4324075</v>
      </c>
    </row>
    <row r="203" spans="1:17">
      <c r="A203" t="s">
        <v>493</v>
      </c>
      <c r="B203" s="1">
        <v>45773</v>
      </c>
      <c r="C203" t="s">
        <v>494</v>
      </c>
      <c r="D203" t="s">
        <v>459</v>
      </c>
      <c r="E203" t="s">
        <v>45</v>
      </c>
      <c r="F203" t="s">
        <v>33</v>
      </c>
      <c r="G203" t="s">
        <v>46</v>
      </c>
      <c r="H203" t="s">
        <v>60</v>
      </c>
      <c r="I203">
        <v>3</v>
      </c>
      <c r="J203">
        <v>2600</v>
      </c>
      <c r="K203">
        <v>0</v>
      </c>
      <c r="L203">
        <v>800</v>
      </c>
      <c r="M203" t="s">
        <v>28</v>
      </c>
      <c r="N203">
        <f t="shared" si="12"/>
        <v>7800</v>
      </c>
      <c r="O203">
        <f t="shared" si="13"/>
        <v>5400</v>
      </c>
      <c r="P203">
        <f t="shared" si="14"/>
        <v>5653225</v>
      </c>
      <c r="Q203">
        <f t="shared" si="15"/>
        <v>4315105</v>
      </c>
    </row>
    <row r="204" spans="1:17">
      <c r="A204" t="s">
        <v>495</v>
      </c>
      <c r="B204" s="1">
        <v>45907</v>
      </c>
      <c r="C204" t="s">
        <v>496</v>
      </c>
      <c r="D204" t="s">
        <v>497</v>
      </c>
      <c r="E204" t="s">
        <v>52</v>
      </c>
      <c r="F204" t="s">
        <v>40</v>
      </c>
      <c r="G204" t="s">
        <v>34</v>
      </c>
      <c r="H204" t="s">
        <v>106</v>
      </c>
      <c r="I204">
        <v>2</v>
      </c>
      <c r="J204">
        <v>650</v>
      </c>
      <c r="K204">
        <v>0.15</v>
      </c>
      <c r="L204">
        <v>200</v>
      </c>
      <c r="M204" t="s">
        <v>28</v>
      </c>
      <c r="N204">
        <f t="shared" si="12"/>
        <v>1105</v>
      </c>
      <c r="O204">
        <f t="shared" si="13"/>
        <v>705</v>
      </c>
      <c r="P204">
        <f t="shared" si="14"/>
        <v>5645425</v>
      </c>
      <c r="Q204">
        <f t="shared" si="15"/>
        <v>4309705</v>
      </c>
    </row>
    <row r="205" spans="1:17">
      <c r="A205" t="s">
        <v>498</v>
      </c>
      <c r="B205" s="1">
        <v>46005</v>
      </c>
      <c r="C205" t="s">
        <v>131</v>
      </c>
      <c r="D205" t="s">
        <v>185</v>
      </c>
      <c r="E205" t="s">
        <v>118</v>
      </c>
      <c r="F205" t="s">
        <v>33</v>
      </c>
      <c r="G205" t="s">
        <v>34</v>
      </c>
      <c r="H205" t="s">
        <v>41</v>
      </c>
      <c r="I205">
        <v>2</v>
      </c>
      <c r="J205">
        <v>52000</v>
      </c>
      <c r="K205">
        <v>0.1</v>
      </c>
      <c r="L205">
        <v>9000</v>
      </c>
      <c r="M205" t="s">
        <v>48</v>
      </c>
      <c r="N205">
        <f t="shared" si="12"/>
        <v>93600</v>
      </c>
      <c r="O205">
        <f t="shared" si="13"/>
        <v>75600</v>
      </c>
      <c r="P205">
        <f t="shared" si="14"/>
        <v>5644320</v>
      </c>
      <c r="Q205">
        <f t="shared" si="15"/>
        <v>4309000</v>
      </c>
    </row>
    <row r="206" spans="1:17">
      <c r="A206" t="s">
        <v>499</v>
      </c>
      <c r="B206" s="1">
        <v>46012</v>
      </c>
      <c r="C206" t="s">
        <v>14</v>
      </c>
      <c r="D206" t="s">
        <v>79</v>
      </c>
      <c r="E206" t="s">
        <v>32</v>
      </c>
      <c r="F206" t="s">
        <v>17</v>
      </c>
      <c r="G206" t="s">
        <v>34</v>
      </c>
      <c r="H206" t="s">
        <v>41</v>
      </c>
      <c r="I206">
        <v>5</v>
      </c>
      <c r="J206">
        <v>52000</v>
      </c>
      <c r="K206">
        <v>0.15</v>
      </c>
      <c r="L206">
        <v>9000</v>
      </c>
      <c r="M206" t="s">
        <v>28</v>
      </c>
      <c r="N206">
        <f t="shared" si="12"/>
        <v>221000</v>
      </c>
      <c r="O206">
        <f t="shared" si="13"/>
        <v>176000</v>
      </c>
      <c r="P206">
        <f t="shared" si="14"/>
        <v>5550720</v>
      </c>
      <c r="Q206">
        <f t="shared" si="15"/>
        <v>4233400</v>
      </c>
    </row>
    <row r="207" spans="1:17">
      <c r="A207" t="s">
        <v>500</v>
      </c>
      <c r="B207" s="1">
        <v>45982</v>
      </c>
      <c r="C207" t="s">
        <v>240</v>
      </c>
      <c r="D207" t="s">
        <v>187</v>
      </c>
      <c r="E207" t="s">
        <v>16</v>
      </c>
      <c r="F207" t="s">
        <v>25</v>
      </c>
      <c r="G207" t="s">
        <v>18</v>
      </c>
      <c r="H207" t="s">
        <v>70</v>
      </c>
      <c r="I207">
        <v>4</v>
      </c>
      <c r="J207">
        <v>2400</v>
      </c>
      <c r="K207">
        <v>0.1</v>
      </c>
      <c r="L207">
        <v>650</v>
      </c>
      <c r="M207" t="s">
        <v>20</v>
      </c>
      <c r="N207">
        <f t="shared" si="12"/>
        <v>8640</v>
      </c>
      <c r="O207">
        <f t="shared" si="13"/>
        <v>6040</v>
      </c>
      <c r="P207">
        <f t="shared" si="14"/>
        <v>5329720</v>
      </c>
      <c r="Q207">
        <f t="shared" si="15"/>
        <v>4057400</v>
      </c>
    </row>
    <row r="208" spans="1:17">
      <c r="A208" t="s">
        <v>501</v>
      </c>
      <c r="B208" s="1">
        <v>45940</v>
      </c>
      <c r="C208" t="s">
        <v>433</v>
      </c>
      <c r="D208" t="s">
        <v>200</v>
      </c>
      <c r="E208" t="s">
        <v>39</v>
      </c>
      <c r="F208" t="s">
        <v>17</v>
      </c>
      <c r="G208" t="s">
        <v>46</v>
      </c>
      <c r="H208" t="s">
        <v>96</v>
      </c>
      <c r="I208">
        <v>2</v>
      </c>
      <c r="J208">
        <v>3200</v>
      </c>
      <c r="K208">
        <v>0</v>
      </c>
      <c r="L208">
        <v>950</v>
      </c>
      <c r="M208" t="s">
        <v>28</v>
      </c>
      <c r="N208">
        <f t="shared" si="12"/>
        <v>6400</v>
      </c>
      <c r="O208">
        <f t="shared" si="13"/>
        <v>4500</v>
      </c>
      <c r="P208">
        <f t="shared" si="14"/>
        <v>5321080</v>
      </c>
      <c r="Q208">
        <f t="shared" si="15"/>
        <v>4051360</v>
      </c>
    </row>
    <row r="209" spans="1:17">
      <c r="A209" t="s">
        <v>502</v>
      </c>
      <c r="B209" s="1">
        <v>45740</v>
      </c>
      <c r="C209" t="s">
        <v>503</v>
      </c>
      <c r="D209" t="s">
        <v>504</v>
      </c>
      <c r="E209" t="s">
        <v>32</v>
      </c>
      <c r="F209" t="s">
        <v>17</v>
      </c>
      <c r="G209" t="s">
        <v>46</v>
      </c>
      <c r="H209" t="s">
        <v>47</v>
      </c>
      <c r="I209">
        <v>3</v>
      </c>
      <c r="J209">
        <v>550</v>
      </c>
      <c r="K209">
        <v>0.15</v>
      </c>
      <c r="L209">
        <v>180</v>
      </c>
      <c r="M209" t="s">
        <v>28</v>
      </c>
      <c r="N209">
        <f t="shared" si="12"/>
        <v>1402.5</v>
      </c>
      <c r="O209">
        <f t="shared" si="13"/>
        <v>862.5</v>
      </c>
      <c r="P209">
        <f t="shared" si="14"/>
        <v>5314680</v>
      </c>
      <c r="Q209">
        <f t="shared" si="15"/>
        <v>4046860</v>
      </c>
    </row>
    <row r="210" spans="1:17">
      <c r="A210" t="s">
        <v>505</v>
      </c>
      <c r="B210" s="1">
        <v>45751</v>
      </c>
      <c r="C210" t="s">
        <v>364</v>
      </c>
      <c r="D210" t="s">
        <v>506</v>
      </c>
      <c r="E210" t="s">
        <v>118</v>
      </c>
      <c r="F210" t="s">
        <v>33</v>
      </c>
      <c r="G210" t="s">
        <v>34</v>
      </c>
      <c r="H210" t="s">
        <v>56</v>
      </c>
      <c r="I210">
        <v>1</v>
      </c>
      <c r="J210">
        <v>1800</v>
      </c>
      <c r="K210">
        <v>0.1</v>
      </c>
      <c r="L210">
        <v>650</v>
      </c>
      <c r="M210" t="s">
        <v>28</v>
      </c>
      <c r="N210">
        <f t="shared" si="12"/>
        <v>1620</v>
      </c>
      <c r="O210">
        <f t="shared" si="13"/>
        <v>970</v>
      </c>
      <c r="P210">
        <f t="shared" si="14"/>
        <v>5313277.5</v>
      </c>
      <c r="Q210">
        <f t="shared" si="15"/>
        <v>4045997.5</v>
      </c>
    </row>
    <row r="211" spans="1:17">
      <c r="A211" t="s">
        <v>507</v>
      </c>
      <c r="B211" s="1">
        <v>45685</v>
      </c>
      <c r="C211" t="s">
        <v>256</v>
      </c>
      <c r="D211" t="s">
        <v>451</v>
      </c>
      <c r="E211" t="s">
        <v>84</v>
      </c>
      <c r="F211" t="s">
        <v>33</v>
      </c>
      <c r="G211" t="s">
        <v>26</v>
      </c>
      <c r="H211" t="s">
        <v>153</v>
      </c>
      <c r="I211">
        <v>2</v>
      </c>
      <c r="J211">
        <v>4200</v>
      </c>
      <c r="K211">
        <v>0</v>
      </c>
      <c r="L211">
        <v>1000</v>
      </c>
      <c r="M211" t="s">
        <v>28</v>
      </c>
      <c r="N211">
        <f t="shared" si="12"/>
        <v>8400</v>
      </c>
      <c r="O211">
        <f t="shared" si="13"/>
        <v>6400</v>
      </c>
      <c r="P211">
        <f t="shared" si="14"/>
        <v>5311657.5</v>
      </c>
      <c r="Q211">
        <f t="shared" si="15"/>
        <v>4045027.5</v>
      </c>
    </row>
    <row r="212" spans="1:17">
      <c r="A212" t="s">
        <v>508</v>
      </c>
      <c r="B212" s="1">
        <v>45976</v>
      </c>
      <c r="C212" t="s">
        <v>482</v>
      </c>
      <c r="D212" t="s">
        <v>164</v>
      </c>
      <c r="E212" t="s">
        <v>84</v>
      </c>
      <c r="F212" t="s">
        <v>25</v>
      </c>
      <c r="G212" t="s">
        <v>34</v>
      </c>
      <c r="H212" t="s">
        <v>53</v>
      </c>
      <c r="I212">
        <v>3</v>
      </c>
      <c r="J212">
        <v>950</v>
      </c>
      <c r="K212">
        <v>0.1</v>
      </c>
      <c r="L212">
        <v>300</v>
      </c>
      <c r="M212" t="s">
        <v>20</v>
      </c>
      <c r="N212">
        <f t="shared" si="12"/>
        <v>2565</v>
      </c>
      <c r="O212">
        <f t="shared" si="13"/>
        <v>1665</v>
      </c>
      <c r="P212">
        <f t="shared" si="14"/>
        <v>5303257.5</v>
      </c>
      <c r="Q212">
        <f t="shared" si="15"/>
        <v>4038627.5</v>
      </c>
    </row>
    <row r="213" spans="1:17">
      <c r="A213" t="s">
        <v>509</v>
      </c>
      <c r="B213" s="1">
        <v>45909</v>
      </c>
      <c r="C213" t="s">
        <v>510</v>
      </c>
      <c r="D213" t="s">
        <v>295</v>
      </c>
      <c r="E213" t="s">
        <v>118</v>
      </c>
      <c r="F213" t="s">
        <v>33</v>
      </c>
      <c r="G213" t="s">
        <v>34</v>
      </c>
      <c r="H213" t="s">
        <v>106</v>
      </c>
      <c r="I213">
        <v>3</v>
      </c>
      <c r="J213">
        <v>650</v>
      </c>
      <c r="K213">
        <v>0.1</v>
      </c>
      <c r="L213">
        <v>200</v>
      </c>
      <c r="M213" t="s">
        <v>28</v>
      </c>
      <c r="N213">
        <f t="shared" si="12"/>
        <v>1755</v>
      </c>
      <c r="O213">
        <f t="shared" si="13"/>
        <v>1155</v>
      </c>
      <c r="P213">
        <f t="shared" si="14"/>
        <v>5300692.5</v>
      </c>
      <c r="Q213">
        <f t="shared" si="15"/>
        <v>4036962.5</v>
      </c>
    </row>
    <row r="214" spans="1:17">
      <c r="A214" t="s">
        <v>511</v>
      </c>
      <c r="B214" s="1">
        <v>45956</v>
      </c>
      <c r="C214" t="s">
        <v>512</v>
      </c>
      <c r="D214" t="s">
        <v>102</v>
      </c>
      <c r="E214" t="s">
        <v>52</v>
      </c>
      <c r="F214" t="s">
        <v>40</v>
      </c>
      <c r="G214" t="s">
        <v>46</v>
      </c>
      <c r="H214" t="s">
        <v>80</v>
      </c>
      <c r="I214">
        <v>4</v>
      </c>
      <c r="J214">
        <v>1900</v>
      </c>
      <c r="K214">
        <v>0.15</v>
      </c>
      <c r="L214">
        <v>600</v>
      </c>
      <c r="M214" t="s">
        <v>28</v>
      </c>
      <c r="N214">
        <f t="shared" si="12"/>
        <v>6460</v>
      </c>
      <c r="O214">
        <f t="shared" si="13"/>
        <v>4060</v>
      </c>
      <c r="P214">
        <f t="shared" si="14"/>
        <v>5298937.5</v>
      </c>
      <c r="Q214">
        <f t="shared" si="15"/>
        <v>4035807.5</v>
      </c>
    </row>
    <row r="215" spans="1:17">
      <c r="A215" t="s">
        <v>513</v>
      </c>
      <c r="B215" s="1">
        <v>45762</v>
      </c>
      <c r="C215" t="s">
        <v>280</v>
      </c>
      <c r="D215" t="s">
        <v>514</v>
      </c>
      <c r="E215" t="s">
        <v>52</v>
      </c>
      <c r="F215" t="s">
        <v>17</v>
      </c>
      <c r="G215" t="s">
        <v>46</v>
      </c>
      <c r="H215" t="s">
        <v>340</v>
      </c>
      <c r="I215">
        <v>5</v>
      </c>
      <c r="J215">
        <v>1400</v>
      </c>
      <c r="K215">
        <v>0.05</v>
      </c>
      <c r="L215">
        <v>450</v>
      </c>
      <c r="M215" t="s">
        <v>48</v>
      </c>
      <c r="N215">
        <f t="shared" si="12"/>
        <v>6650</v>
      </c>
      <c r="O215">
        <f t="shared" si="13"/>
        <v>4400</v>
      </c>
      <c r="P215">
        <f t="shared" si="14"/>
        <v>5292477.5</v>
      </c>
      <c r="Q215">
        <f t="shared" si="15"/>
        <v>4031747.5</v>
      </c>
    </row>
    <row r="216" spans="1:17">
      <c r="A216" t="s">
        <v>515</v>
      </c>
      <c r="B216" s="1">
        <v>46020</v>
      </c>
      <c r="C216" t="s">
        <v>516</v>
      </c>
      <c r="D216" t="s">
        <v>475</v>
      </c>
      <c r="E216" t="s">
        <v>24</v>
      </c>
      <c r="F216" t="s">
        <v>33</v>
      </c>
      <c r="G216" t="s">
        <v>26</v>
      </c>
      <c r="H216" t="s">
        <v>159</v>
      </c>
      <c r="I216">
        <v>5</v>
      </c>
      <c r="J216">
        <v>8500</v>
      </c>
      <c r="K216">
        <v>0.05</v>
      </c>
      <c r="L216">
        <v>2100</v>
      </c>
      <c r="M216" t="s">
        <v>20</v>
      </c>
      <c r="N216">
        <f t="shared" si="12"/>
        <v>40375</v>
      </c>
      <c r="O216">
        <f t="shared" si="13"/>
        <v>29875</v>
      </c>
      <c r="P216">
        <f t="shared" si="14"/>
        <v>5285827.5</v>
      </c>
      <c r="Q216">
        <f t="shared" si="15"/>
        <v>4027347.5</v>
      </c>
    </row>
    <row r="217" spans="1:17">
      <c r="A217" t="s">
        <v>517</v>
      </c>
      <c r="B217" s="1">
        <v>45865</v>
      </c>
      <c r="C217" t="s">
        <v>315</v>
      </c>
      <c r="D217" t="s">
        <v>518</v>
      </c>
      <c r="E217" t="s">
        <v>32</v>
      </c>
      <c r="F217" t="s">
        <v>17</v>
      </c>
      <c r="G217" t="s">
        <v>18</v>
      </c>
      <c r="H217" t="s">
        <v>136</v>
      </c>
      <c r="I217">
        <v>3</v>
      </c>
      <c r="J217">
        <v>2800</v>
      </c>
      <c r="K217">
        <v>0</v>
      </c>
      <c r="L217">
        <v>750</v>
      </c>
      <c r="M217" t="s">
        <v>20</v>
      </c>
      <c r="N217">
        <f t="shared" si="12"/>
        <v>8400</v>
      </c>
      <c r="O217">
        <f t="shared" si="13"/>
        <v>6150</v>
      </c>
      <c r="P217">
        <f t="shared" si="14"/>
        <v>5245452.5</v>
      </c>
      <c r="Q217">
        <f t="shared" si="15"/>
        <v>3997472.5</v>
      </c>
    </row>
    <row r="218" spans="1:17">
      <c r="A218" t="s">
        <v>519</v>
      </c>
      <c r="B218" s="1">
        <v>45702</v>
      </c>
      <c r="C218" t="s">
        <v>318</v>
      </c>
      <c r="D218" t="s">
        <v>259</v>
      </c>
      <c r="E218" t="s">
        <v>118</v>
      </c>
      <c r="F218" t="s">
        <v>33</v>
      </c>
      <c r="G218" t="s">
        <v>34</v>
      </c>
      <c r="H218" t="s">
        <v>35</v>
      </c>
      <c r="I218">
        <v>3</v>
      </c>
      <c r="J218">
        <v>18000</v>
      </c>
      <c r="K218">
        <v>0.15</v>
      </c>
      <c r="L218">
        <v>3000</v>
      </c>
      <c r="M218" t="s">
        <v>28</v>
      </c>
      <c r="N218">
        <f t="shared" si="12"/>
        <v>45900</v>
      </c>
      <c r="O218">
        <f t="shared" si="13"/>
        <v>36900</v>
      </c>
      <c r="P218">
        <f t="shared" si="14"/>
        <v>5237052.5</v>
      </c>
      <c r="Q218">
        <f t="shared" si="15"/>
        <v>3991322.5</v>
      </c>
    </row>
    <row r="219" spans="1:17">
      <c r="A219" t="s">
        <v>520</v>
      </c>
      <c r="B219" s="1">
        <v>45878</v>
      </c>
      <c r="C219" t="s">
        <v>72</v>
      </c>
      <c r="D219" t="s">
        <v>378</v>
      </c>
      <c r="E219" t="s">
        <v>52</v>
      </c>
      <c r="F219" t="s">
        <v>25</v>
      </c>
      <c r="G219" t="s">
        <v>18</v>
      </c>
      <c r="H219" t="s">
        <v>85</v>
      </c>
      <c r="I219">
        <v>1</v>
      </c>
      <c r="J219">
        <v>350</v>
      </c>
      <c r="K219">
        <v>0.05</v>
      </c>
      <c r="L219">
        <v>100</v>
      </c>
      <c r="M219" t="s">
        <v>20</v>
      </c>
      <c r="N219">
        <f t="shared" si="12"/>
        <v>332.5</v>
      </c>
      <c r="O219">
        <f t="shared" si="13"/>
        <v>232.5</v>
      </c>
      <c r="P219">
        <f t="shared" si="14"/>
        <v>5191152.5</v>
      </c>
      <c r="Q219">
        <f t="shared" si="15"/>
        <v>3954422.5</v>
      </c>
    </row>
    <row r="220" spans="1:17">
      <c r="A220" t="s">
        <v>521</v>
      </c>
      <c r="B220" s="1">
        <v>45743</v>
      </c>
      <c r="C220" t="s">
        <v>104</v>
      </c>
      <c r="D220" t="s">
        <v>390</v>
      </c>
      <c r="E220" t="s">
        <v>32</v>
      </c>
      <c r="F220" t="s">
        <v>25</v>
      </c>
      <c r="G220" t="s">
        <v>34</v>
      </c>
      <c r="H220" t="s">
        <v>56</v>
      </c>
      <c r="I220">
        <v>4</v>
      </c>
      <c r="J220">
        <v>1800</v>
      </c>
      <c r="K220">
        <v>0.05</v>
      </c>
      <c r="L220">
        <v>650</v>
      </c>
      <c r="M220" t="s">
        <v>48</v>
      </c>
      <c r="N220">
        <f t="shared" si="12"/>
        <v>6840</v>
      </c>
      <c r="O220">
        <f t="shared" si="13"/>
        <v>4240</v>
      </c>
      <c r="P220">
        <f t="shared" si="14"/>
        <v>5190820</v>
      </c>
      <c r="Q220">
        <f t="shared" si="15"/>
        <v>3954190</v>
      </c>
    </row>
    <row r="221" spans="1:17">
      <c r="A221" t="s">
        <v>522</v>
      </c>
      <c r="B221" s="1">
        <v>45959</v>
      </c>
      <c r="C221" t="s">
        <v>333</v>
      </c>
      <c r="D221" t="s">
        <v>478</v>
      </c>
      <c r="E221" t="s">
        <v>32</v>
      </c>
      <c r="F221" t="s">
        <v>40</v>
      </c>
      <c r="G221" t="s">
        <v>18</v>
      </c>
      <c r="H221" t="s">
        <v>85</v>
      </c>
      <c r="I221">
        <v>2</v>
      </c>
      <c r="J221">
        <v>350</v>
      </c>
      <c r="K221">
        <v>0.1</v>
      </c>
      <c r="L221">
        <v>100</v>
      </c>
      <c r="M221" t="s">
        <v>48</v>
      </c>
      <c r="N221">
        <f t="shared" si="12"/>
        <v>630</v>
      </c>
      <c r="O221">
        <f t="shared" si="13"/>
        <v>430</v>
      </c>
      <c r="P221">
        <f t="shared" si="14"/>
        <v>5183980</v>
      </c>
      <c r="Q221">
        <f t="shared" si="15"/>
        <v>3949950</v>
      </c>
    </row>
    <row r="222" spans="1:17">
      <c r="A222" t="s">
        <v>523</v>
      </c>
      <c r="B222" s="1">
        <v>45898</v>
      </c>
      <c r="C222" t="s">
        <v>263</v>
      </c>
      <c r="D222" t="s">
        <v>251</v>
      </c>
      <c r="E222" t="s">
        <v>32</v>
      </c>
      <c r="F222" t="s">
        <v>17</v>
      </c>
      <c r="G222" t="s">
        <v>46</v>
      </c>
      <c r="H222" t="s">
        <v>96</v>
      </c>
      <c r="I222">
        <v>4</v>
      </c>
      <c r="J222">
        <v>3200</v>
      </c>
      <c r="K222">
        <v>0.15</v>
      </c>
      <c r="L222">
        <v>950</v>
      </c>
      <c r="M222" t="s">
        <v>28</v>
      </c>
      <c r="N222">
        <f t="shared" si="12"/>
        <v>10880</v>
      </c>
      <c r="O222">
        <f t="shared" si="13"/>
        <v>7080</v>
      </c>
      <c r="P222">
        <f t="shared" si="14"/>
        <v>5183350</v>
      </c>
      <c r="Q222">
        <f t="shared" si="15"/>
        <v>3949520</v>
      </c>
    </row>
    <row r="223" spans="1:17">
      <c r="A223" t="s">
        <v>524</v>
      </c>
      <c r="B223" s="1">
        <v>45947</v>
      </c>
      <c r="C223" t="s">
        <v>22</v>
      </c>
      <c r="D223" t="s">
        <v>525</v>
      </c>
      <c r="E223" t="s">
        <v>118</v>
      </c>
      <c r="F223" t="s">
        <v>25</v>
      </c>
      <c r="G223" t="s">
        <v>18</v>
      </c>
      <c r="H223" t="s">
        <v>136</v>
      </c>
      <c r="I223">
        <v>1</v>
      </c>
      <c r="J223">
        <v>2800</v>
      </c>
      <c r="K223">
        <v>0.05</v>
      </c>
      <c r="L223">
        <v>750</v>
      </c>
      <c r="M223" t="s">
        <v>28</v>
      </c>
      <c r="N223">
        <f t="shared" si="12"/>
        <v>2660</v>
      </c>
      <c r="O223">
        <f t="shared" si="13"/>
        <v>1910</v>
      </c>
      <c r="P223">
        <f t="shared" si="14"/>
        <v>5172470</v>
      </c>
      <c r="Q223">
        <f t="shared" si="15"/>
        <v>3942440</v>
      </c>
    </row>
    <row r="224" spans="1:17">
      <c r="A224" t="s">
        <v>526</v>
      </c>
      <c r="B224" s="1">
        <v>46007</v>
      </c>
      <c r="C224" t="s">
        <v>375</v>
      </c>
      <c r="D224" t="s">
        <v>254</v>
      </c>
      <c r="E224" t="s">
        <v>118</v>
      </c>
      <c r="F224" t="s">
        <v>17</v>
      </c>
      <c r="G224" t="s">
        <v>26</v>
      </c>
      <c r="H224" t="s">
        <v>153</v>
      </c>
      <c r="I224">
        <v>5</v>
      </c>
      <c r="J224">
        <v>4200</v>
      </c>
      <c r="K224">
        <v>0</v>
      </c>
      <c r="L224">
        <v>1000</v>
      </c>
      <c r="M224" t="s">
        <v>28</v>
      </c>
      <c r="N224">
        <f t="shared" si="12"/>
        <v>21000</v>
      </c>
      <c r="O224">
        <f t="shared" si="13"/>
        <v>16000</v>
      </c>
      <c r="P224">
        <f t="shared" si="14"/>
        <v>5169810</v>
      </c>
      <c r="Q224">
        <f t="shared" si="15"/>
        <v>3940530</v>
      </c>
    </row>
    <row r="225" spans="1:17">
      <c r="A225" t="s">
        <v>527</v>
      </c>
      <c r="B225" s="1">
        <v>45921</v>
      </c>
      <c r="C225" t="s">
        <v>315</v>
      </c>
      <c r="D225" t="s">
        <v>528</v>
      </c>
      <c r="E225" t="s">
        <v>84</v>
      </c>
      <c r="F225" t="s">
        <v>33</v>
      </c>
      <c r="G225" t="s">
        <v>26</v>
      </c>
      <c r="H225" t="s">
        <v>153</v>
      </c>
      <c r="I225">
        <v>1</v>
      </c>
      <c r="J225">
        <v>4200</v>
      </c>
      <c r="K225">
        <v>0.15</v>
      </c>
      <c r="L225">
        <v>1000</v>
      </c>
      <c r="M225" t="s">
        <v>48</v>
      </c>
      <c r="N225">
        <f t="shared" si="12"/>
        <v>3570</v>
      </c>
      <c r="O225">
        <f t="shared" si="13"/>
        <v>2570</v>
      </c>
      <c r="P225">
        <f t="shared" si="14"/>
        <v>5148810</v>
      </c>
      <c r="Q225">
        <f t="shared" si="15"/>
        <v>3924530</v>
      </c>
    </row>
    <row r="226" spans="1:17">
      <c r="A226" t="s">
        <v>529</v>
      </c>
      <c r="B226" s="1">
        <v>45820</v>
      </c>
      <c r="C226" t="s">
        <v>182</v>
      </c>
      <c r="D226" t="s">
        <v>177</v>
      </c>
      <c r="E226" t="s">
        <v>45</v>
      </c>
      <c r="F226" t="s">
        <v>33</v>
      </c>
      <c r="G226" t="s">
        <v>34</v>
      </c>
      <c r="H226" t="s">
        <v>106</v>
      </c>
      <c r="I226">
        <v>3</v>
      </c>
      <c r="J226">
        <v>650</v>
      </c>
      <c r="K226">
        <v>0.05</v>
      </c>
      <c r="L226">
        <v>200</v>
      </c>
      <c r="M226" t="s">
        <v>48</v>
      </c>
      <c r="N226">
        <f t="shared" si="12"/>
        <v>1852.5</v>
      </c>
      <c r="O226">
        <f t="shared" si="13"/>
        <v>1252.5</v>
      </c>
      <c r="P226">
        <f t="shared" si="14"/>
        <v>5145240</v>
      </c>
      <c r="Q226">
        <f t="shared" si="15"/>
        <v>3921960</v>
      </c>
    </row>
    <row r="227" spans="1:17">
      <c r="A227" t="s">
        <v>530</v>
      </c>
      <c r="B227" s="1">
        <v>45812</v>
      </c>
      <c r="C227" t="s">
        <v>486</v>
      </c>
      <c r="D227" t="s">
        <v>281</v>
      </c>
      <c r="E227" t="s">
        <v>32</v>
      </c>
      <c r="F227" t="s">
        <v>40</v>
      </c>
      <c r="G227" t="s">
        <v>18</v>
      </c>
      <c r="H227" t="s">
        <v>76</v>
      </c>
      <c r="I227">
        <v>1</v>
      </c>
      <c r="J227">
        <v>850</v>
      </c>
      <c r="K227">
        <v>0.15</v>
      </c>
      <c r="L227">
        <v>250</v>
      </c>
      <c r="M227" t="s">
        <v>48</v>
      </c>
      <c r="N227">
        <f t="shared" si="12"/>
        <v>722.5</v>
      </c>
      <c r="O227">
        <f t="shared" si="13"/>
        <v>472.5</v>
      </c>
      <c r="P227">
        <f t="shared" si="14"/>
        <v>5143387.5</v>
      </c>
      <c r="Q227">
        <f t="shared" si="15"/>
        <v>3920707.5</v>
      </c>
    </row>
    <row r="228" spans="1:17">
      <c r="A228" t="s">
        <v>531</v>
      </c>
      <c r="B228" s="1">
        <v>45982</v>
      </c>
      <c r="C228" t="s">
        <v>306</v>
      </c>
      <c r="D228" t="s">
        <v>112</v>
      </c>
      <c r="E228" t="s">
        <v>118</v>
      </c>
      <c r="F228" t="s">
        <v>33</v>
      </c>
      <c r="G228" t="s">
        <v>46</v>
      </c>
      <c r="H228" t="s">
        <v>80</v>
      </c>
      <c r="I228">
        <v>3</v>
      </c>
      <c r="J228">
        <v>1900</v>
      </c>
      <c r="K228">
        <v>0.05</v>
      </c>
      <c r="L228">
        <v>600</v>
      </c>
      <c r="M228" t="s">
        <v>28</v>
      </c>
      <c r="N228">
        <f t="shared" si="12"/>
        <v>5415</v>
      </c>
      <c r="O228">
        <f t="shared" si="13"/>
        <v>3615</v>
      </c>
      <c r="P228">
        <f t="shared" si="14"/>
        <v>5142665</v>
      </c>
      <c r="Q228">
        <f t="shared" si="15"/>
        <v>3920235</v>
      </c>
    </row>
    <row r="229" spans="1:17">
      <c r="A229" t="s">
        <v>532</v>
      </c>
      <c r="B229" s="1">
        <v>46022</v>
      </c>
      <c r="C229" t="s">
        <v>533</v>
      </c>
      <c r="D229" t="s">
        <v>198</v>
      </c>
      <c r="E229" t="s">
        <v>118</v>
      </c>
      <c r="F229" t="s">
        <v>17</v>
      </c>
      <c r="G229" t="s">
        <v>46</v>
      </c>
      <c r="H229" t="s">
        <v>60</v>
      </c>
      <c r="I229">
        <v>5</v>
      </c>
      <c r="J229">
        <v>2600</v>
      </c>
      <c r="K229">
        <v>0.15</v>
      </c>
      <c r="L229">
        <v>800</v>
      </c>
      <c r="M229" t="s">
        <v>20</v>
      </c>
      <c r="N229">
        <f t="shared" si="12"/>
        <v>11050</v>
      </c>
      <c r="O229">
        <f t="shared" si="13"/>
        <v>7050</v>
      </c>
      <c r="P229">
        <f t="shared" si="14"/>
        <v>5137250</v>
      </c>
      <c r="Q229">
        <f t="shared" si="15"/>
        <v>3916620</v>
      </c>
    </row>
    <row r="230" spans="1:17">
      <c r="A230" t="s">
        <v>534</v>
      </c>
      <c r="B230" s="1">
        <v>45856</v>
      </c>
      <c r="C230" t="s">
        <v>474</v>
      </c>
      <c r="D230" t="s">
        <v>297</v>
      </c>
      <c r="E230" t="s">
        <v>118</v>
      </c>
      <c r="F230" t="s">
        <v>33</v>
      </c>
      <c r="G230" t="s">
        <v>46</v>
      </c>
      <c r="H230" t="s">
        <v>96</v>
      </c>
      <c r="I230">
        <v>5</v>
      </c>
      <c r="J230">
        <v>3200</v>
      </c>
      <c r="K230">
        <v>0</v>
      </c>
      <c r="L230">
        <v>950</v>
      </c>
      <c r="M230" t="s">
        <v>28</v>
      </c>
      <c r="N230">
        <f t="shared" si="12"/>
        <v>16000</v>
      </c>
      <c r="O230">
        <f t="shared" si="13"/>
        <v>11250</v>
      </c>
      <c r="P230">
        <f t="shared" si="14"/>
        <v>5126200</v>
      </c>
      <c r="Q230">
        <f t="shared" si="15"/>
        <v>3909570</v>
      </c>
    </row>
    <row r="231" spans="1:17">
      <c r="A231" t="s">
        <v>535</v>
      </c>
      <c r="B231" s="1">
        <v>45715</v>
      </c>
      <c r="C231" t="s">
        <v>387</v>
      </c>
      <c r="D231" t="s">
        <v>536</v>
      </c>
      <c r="E231" t="s">
        <v>118</v>
      </c>
      <c r="F231" t="s">
        <v>33</v>
      </c>
      <c r="G231" t="s">
        <v>34</v>
      </c>
      <c r="H231" t="s">
        <v>106</v>
      </c>
      <c r="I231">
        <v>2</v>
      </c>
      <c r="J231">
        <v>650</v>
      </c>
      <c r="K231">
        <v>0</v>
      </c>
      <c r="L231">
        <v>200</v>
      </c>
      <c r="M231" t="s">
        <v>20</v>
      </c>
      <c r="N231">
        <f t="shared" si="12"/>
        <v>1300</v>
      </c>
      <c r="O231">
        <f t="shared" si="13"/>
        <v>900</v>
      </c>
      <c r="P231">
        <f t="shared" si="14"/>
        <v>5110200</v>
      </c>
      <c r="Q231">
        <f t="shared" si="15"/>
        <v>3898320</v>
      </c>
    </row>
    <row r="232" spans="1:17">
      <c r="A232" t="s">
        <v>537</v>
      </c>
      <c r="B232" s="1">
        <v>45911</v>
      </c>
      <c r="C232" t="s">
        <v>538</v>
      </c>
      <c r="D232" t="s">
        <v>115</v>
      </c>
      <c r="E232" t="s">
        <v>24</v>
      </c>
      <c r="F232" t="s">
        <v>25</v>
      </c>
      <c r="G232" t="s">
        <v>26</v>
      </c>
      <c r="H232" t="s">
        <v>448</v>
      </c>
      <c r="I232">
        <v>2</v>
      </c>
      <c r="J232">
        <v>6500</v>
      </c>
      <c r="K232">
        <v>0</v>
      </c>
      <c r="L232">
        <v>1600</v>
      </c>
      <c r="M232" t="s">
        <v>28</v>
      </c>
      <c r="N232">
        <f t="shared" si="12"/>
        <v>13000</v>
      </c>
      <c r="O232">
        <f t="shared" si="13"/>
        <v>9800</v>
      </c>
      <c r="P232">
        <f t="shared" si="14"/>
        <v>5108900</v>
      </c>
      <c r="Q232">
        <f t="shared" si="15"/>
        <v>3897420</v>
      </c>
    </row>
    <row r="233" spans="1:17">
      <c r="A233" t="s">
        <v>539</v>
      </c>
      <c r="B233" s="1">
        <v>45711</v>
      </c>
      <c r="C233" t="s">
        <v>94</v>
      </c>
      <c r="D233" t="s">
        <v>232</v>
      </c>
      <c r="E233" t="s">
        <v>118</v>
      </c>
      <c r="F233" t="s">
        <v>40</v>
      </c>
      <c r="G233" t="s">
        <v>34</v>
      </c>
      <c r="H233" t="s">
        <v>35</v>
      </c>
      <c r="I233">
        <v>3</v>
      </c>
      <c r="J233">
        <v>18000</v>
      </c>
      <c r="K233">
        <v>0.05</v>
      </c>
      <c r="L233">
        <v>3000</v>
      </c>
      <c r="M233" t="s">
        <v>20</v>
      </c>
      <c r="N233">
        <f t="shared" si="12"/>
        <v>51300</v>
      </c>
      <c r="O233">
        <f t="shared" si="13"/>
        <v>42300</v>
      </c>
      <c r="P233">
        <f t="shared" si="14"/>
        <v>5095900</v>
      </c>
      <c r="Q233">
        <f t="shared" si="15"/>
        <v>3887620</v>
      </c>
    </row>
    <row r="234" spans="1:17">
      <c r="A234" t="s">
        <v>540</v>
      </c>
      <c r="B234" s="1">
        <v>45665</v>
      </c>
      <c r="C234" t="s">
        <v>418</v>
      </c>
      <c r="D234" t="s">
        <v>541</v>
      </c>
      <c r="E234" t="s">
        <v>32</v>
      </c>
      <c r="F234" t="s">
        <v>17</v>
      </c>
      <c r="G234" t="s">
        <v>18</v>
      </c>
      <c r="H234" t="s">
        <v>85</v>
      </c>
      <c r="I234">
        <v>5</v>
      </c>
      <c r="J234">
        <v>350</v>
      </c>
      <c r="K234">
        <v>0.1</v>
      </c>
      <c r="L234">
        <v>100</v>
      </c>
      <c r="M234" t="s">
        <v>28</v>
      </c>
      <c r="N234">
        <f t="shared" si="12"/>
        <v>1575</v>
      </c>
      <c r="O234">
        <f t="shared" si="13"/>
        <v>1075</v>
      </c>
      <c r="P234">
        <f t="shared" si="14"/>
        <v>5044600</v>
      </c>
      <c r="Q234">
        <f t="shared" si="15"/>
        <v>3845320</v>
      </c>
    </row>
    <row r="235" spans="1:17">
      <c r="A235" t="s">
        <v>542</v>
      </c>
      <c r="B235" s="1">
        <v>45947</v>
      </c>
      <c r="C235" t="s">
        <v>418</v>
      </c>
      <c r="D235" t="s">
        <v>205</v>
      </c>
      <c r="E235" t="s">
        <v>32</v>
      </c>
      <c r="F235" t="s">
        <v>25</v>
      </c>
      <c r="G235" t="s">
        <v>46</v>
      </c>
      <c r="H235" t="s">
        <v>60</v>
      </c>
      <c r="I235">
        <v>2</v>
      </c>
      <c r="J235">
        <v>2600</v>
      </c>
      <c r="K235">
        <v>0.05</v>
      </c>
      <c r="L235">
        <v>800</v>
      </c>
      <c r="M235" t="s">
        <v>28</v>
      </c>
      <c r="N235">
        <f t="shared" si="12"/>
        <v>4940</v>
      </c>
      <c r="O235">
        <f t="shared" si="13"/>
        <v>3340</v>
      </c>
      <c r="P235">
        <f t="shared" si="14"/>
        <v>5043025</v>
      </c>
      <c r="Q235">
        <f t="shared" si="15"/>
        <v>3844245</v>
      </c>
    </row>
    <row r="236" spans="1:17">
      <c r="A236" t="s">
        <v>543</v>
      </c>
      <c r="B236" s="1">
        <v>45968</v>
      </c>
      <c r="C236" t="s">
        <v>427</v>
      </c>
      <c r="D236" t="s">
        <v>366</v>
      </c>
      <c r="E236" t="s">
        <v>52</v>
      </c>
      <c r="F236" t="s">
        <v>40</v>
      </c>
      <c r="G236" t="s">
        <v>46</v>
      </c>
      <c r="H236" t="s">
        <v>47</v>
      </c>
      <c r="I236">
        <v>2</v>
      </c>
      <c r="J236">
        <v>550</v>
      </c>
      <c r="K236">
        <v>0</v>
      </c>
      <c r="L236">
        <v>180</v>
      </c>
      <c r="M236" t="s">
        <v>20</v>
      </c>
      <c r="N236">
        <f t="shared" si="12"/>
        <v>1100</v>
      </c>
      <c r="O236">
        <f t="shared" si="13"/>
        <v>740</v>
      </c>
      <c r="P236">
        <f t="shared" si="14"/>
        <v>5038085</v>
      </c>
      <c r="Q236">
        <f t="shared" si="15"/>
        <v>3840905</v>
      </c>
    </row>
    <row r="237" spans="1:17">
      <c r="A237" t="s">
        <v>544</v>
      </c>
      <c r="B237" s="1">
        <v>45871</v>
      </c>
      <c r="C237" t="s">
        <v>545</v>
      </c>
      <c r="D237" t="s">
        <v>297</v>
      </c>
      <c r="E237" t="s">
        <v>32</v>
      </c>
      <c r="F237" t="s">
        <v>33</v>
      </c>
      <c r="G237" t="s">
        <v>18</v>
      </c>
      <c r="H237" t="s">
        <v>70</v>
      </c>
      <c r="I237">
        <v>5</v>
      </c>
      <c r="J237">
        <v>2400</v>
      </c>
      <c r="K237">
        <v>0.15</v>
      </c>
      <c r="L237">
        <v>650</v>
      </c>
      <c r="M237" t="s">
        <v>48</v>
      </c>
      <c r="N237">
        <f t="shared" si="12"/>
        <v>10200</v>
      </c>
      <c r="O237">
        <f t="shared" si="13"/>
        <v>6950</v>
      </c>
      <c r="P237">
        <f t="shared" si="14"/>
        <v>5036985</v>
      </c>
      <c r="Q237">
        <f t="shared" si="15"/>
        <v>3840165</v>
      </c>
    </row>
    <row r="238" spans="1:17">
      <c r="A238" t="s">
        <v>546</v>
      </c>
      <c r="B238" s="1">
        <v>45677</v>
      </c>
      <c r="C238" t="s">
        <v>389</v>
      </c>
      <c r="D238" t="s">
        <v>73</v>
      </c>
      <c r="E238" t="s">
        <v>45</v>
      </c>
      <c r="F238" t="s">
        <v>40</v>
      </c>
      <c r="G238" t="s">
        <v>46</v>
      </c>
      <c r="H238" t="s">
        <v>60</v>
      </c>
      <c r="I238">
        <v>2</v>
      </c>
      <c r="J238">
        <v>2600</v>
      </c>
      <c r="K238">
        <v>0</v>
      </c>
      <c r="L238">
        <v>800</v>
      </c>
      <c r="M238" t="s">
        <v>28</v>
      </c>
      <c r="N238">
        <f t="shared" si="12"/>
        <v>5200</v>
      </c>
      <c r="O238">
        <f t="shared" si="13"/>
        <v>3600</v>
      </c>
      <c r="P238">
        <f t="shared" si="14"/>
        <v>5026785</v>
      </c>
      <c r="Q238">
        <f t="shared" si="15"/>
        <v>3833215</v>
      </c>
    </row>
    <row r="239" spans="1:17">
      <c r="A239" t="s">
        <v>547</v>
      </c>
      <c r="B239" s="1">
        <v>45681</v>
      </c>
      <c r="C239" t="s">
        <v>548</v>
      </c>
      <c r="D239" t="s">
        <v>506</v>
      </c>
      <c r="E239" t="s">
        <v>24</v>
      </c>
      <c r="F239" t="s">
        <v>25</v>
      </c>
      <c r="G239" t="s">
        <v>46</v>
      </c>
      <c r="H239" t="s">
        <v>47</v>
      </c>
      <c r="I239">
        <v>5</v>
      </c>
      <c r="J239">
        <v>550</v>
      </c>
      <c r="K239">
        <v>0.1</v>
      </c>
      <c r="L239">
        <v>180</v>
      </c>
      <c r="M239" t="s">
        <v>20</v>
      </c>
      <c r="N239">
        <f t="shared" si="12"/>
        <v>2475</v>
      </c>
      <c r="O239">
        <f t="shared" si="13"/>
        <v>1575</v>
      </c>
      <c r="P239">
        <f t="shared" si="14"/>
        <v>5021585</v>
      </c>
      <c r="Q239">
        <f t="shared" si="15"/>
        <v>3829615</v>
      </c>
    </row>
    <row r="240" spans="1:17">
      <c r="A240" t="s">
        <v>549</v>
      </c>
      <c r="B240" s="1">
        <v>45829</v>
      </c>
      <c r="C240" t="s">
        <v>253</v>
      </c>
      <c r="D240" t="s">
        <v>550</v>
      </c>
      <c r="E240" t="s">
        <v>84</v>
      </c>
      <c r="F240" t="s">
        <v>33</v>
      </c>
      <c r="G240" t="s">
        <v>18</v>
      </c>
      <c r="H240" t="s">
        <v>76</v>
      </c>
      <c r="I240">
        <v>5</v>
      </c>
      <c r="J240">
        <v>850</v>
      </c>
      <c r="K240">
        <v>0.15</v>
      </c>
      <c r="L240">
        <v>250</v>
      </c>
      <c r="M240" t="s">
        <v>48</v>
      </c>
      <c r="N240">
        <f t="shared" si="12"/>
        <v>3612.5</v>
      </c>
      <c r="O240">
        <f t="shared" si="13"/>
        <v>2362.5</v>
      </c>
      <c r="P240">
        <f t="shared" si="14"/>
        <v>5019110</v>
      </c>
      <c r="Q240">
        <f t="shared" si="15"/>
        <v>3828040</v>
      </c>
    </row>
    <row r="241" spans="1:17">
      <c r="A241" t="s">
        <v>551</v>
      </c>
      <c r="B241" s="1">
        <v>45928</v>
      </c>
      <c r="C241" t="s">
        <v>552</v>
      </c>
      <c r="D241" t="s">
        <v>238</v>
      </c>
      <c r="E241" t="s">
        <v>39</v>
      </c>
      <c r="F241" t="s">
        <v>17</v>
      </c>
      <c r="G241" t="s">
        <v>46</v>
      </c>
      <c r="H241" t="s">
        <v>340</v>
      </c>
      <c r="I241">
        <v>1</v>
      </c>
      <c r="J241">
        <v>1400</v>
      </c>
      <c r="K241">
        <v>0</v>
      </c>
      <c r="L241">
        <v>450</v>
      </c>
      <c r="M241" t="s">
        <v>28</v>
      </c>
      <c r="N241">
        <f t="shared" si="12"/>
        <v>1400</v>
      </c>
      <c r="O241">
        <f t="shared" si="13"/>
        <v>950</v>
      </c>
      <c r="P241">
        <f t="shared" si="14"/>
        <v>5015497.5</v>
      </c>
      <c r="Q241">
        <f t="shared" si="15"/>
        <v>3825677.5</v>
      </c>
    </row>
    <row r="242" spans="1:17">
      <c r="A242" t="s">
        <v>553</v>
      </c>
      <c r="B242" s="1">
        <v>45895</v>
      </c>
      <c r="C242" t="s">
        <v>213</v>
      </c>
      <c r="D242" t="s">
        <v>554</v>
      </c>
      <c r="E242" t="s">
        <v>24</v>
      </c>
      <c r="F242" t="s">
        <v>33</v>
      </c>
      <c r="G242" t="s">
        <v>46</v>
      </c>
      <c r="H242" t="s">
        <v>96</v>
      </c>
      <c r="I242">
        <v>1</v>
      </c>
      <c r="J242">
        <v>3200</v>
      </c>
      <c r="K242">
        <v>0.1</v>
      </c>
      <c r="L242">
        <v>950</v>
      </c>
      <c r="M242" t="s">
        <v>48</v>
      </c>
      <c r="N242">
        <f t="shared" si="12"/>
        <v>2880</v>
      </c>
      <c r="O242">
        <f t="shared" si="13"/>
        <v>1930</v>
      </c>
      <c r="P242">
        <f t="shared" si="14"/>
        <v>5014097.5</v>
      </c>
      <c r="Q242">
        <f t="shared" si="15"/>
        <v>3824727.5</v>
      </c>
    </row>
    <row r="243" spans="1:17">
      <c r="A243" t="s">
        <v>555</v>
      </c>
      <c r="B243" s="1">
        <v>45805</v>
      </c>
      <c r="C243" t="s">
        <v>471</v>
      </c>
      <c r="D243" t="s">
        <v>185</v>
      </c>
      <c r="E243" t="s">
        <v>32</v>
      </c>
      <c r="F243" t="s">
        <v>33</v>
      </c>
      <c r="G243" t="s">
        <v>26</v>
      </c>
      <c r="H243" t="s">
        <v>92</v>
      </c>
      <c r="I243">
        <v>4</v>
      </c>
      <c r="J243">
        <v>15000</v>
      </c>
      <c r="K243">
        <v>0.1</v>
      </c>
      <c r="L243">
        <v>3500</v>
      </c>
      <c r="M243" t="s">
        <v>28</v>
      </c>
      <c r="N243">
        <f t="shared" si="12"/>
        <v>54000</v>
      </c>
      <c r="O243">
        <f t="shared" si="13"/>
        <v>40000</v>
      </c>
      <c r="P243">
        <f t="shared" si="14"/>
        <v>5011217.5</v>
      </c>
      <c r="Q243">
        <f t="shared" si="15"/>
        <v>3822797.5</v>
      </c>
    </row>
    <row r="244" spans="1:17">
      <c r="A244" t="s">
        <v>556</v>
      </c>
      <c r="B244" s="1">
        <v>45812</v>
      </c>
      <c r="C244" t="s">
        <v>247</v>
      </c>
      <c r="D244" t="s">
        <v>557</v>
      </c>
      <c r="E244" t="s">
        <v>52</v>
      </c>
      <c r="F244" t="s">
        <v>40</v>
      </c>
      <c r="G244" t="s">
        <v>26</v>
      </c>
      <c r="H244" t="s">
        <v>92</v>
      </c>
      <c r="I244">
        <v>5</v>
      </c>
      <c r="J244">
        <v>15000</v>
      </c>
      <c r="K244">
        <v>0.1</v>
      </c>
      <c r="L244">
        <v>3500</v>
      </c>
      <c r="M244" t="s">
        <v>48</v>
      </c>
      <c r="N244">
        <f t="shared" si="12"/>
        <v>67500</v>
      </c>
      <c r="O244">
        <f t="shared" si="13"/>
        <v>50000</v>
      </c>
      <c r="P244">
        <f t="shared" si="14"/>
        <v>4957217.5</v>
      </c>
      <c r="Q244">
        <f t="shared" si="15"/>
        <v>3782797.5</v>
      </c>
    </row>
    <row r="245" spans="1:17">
      <c r="A245" t="s">
        <v>558</v>
      </c>
      <c r="B245" s="1">
        <v>45902</v>
      </c>
      <c r="C245" t="s">
        <v>455</v>
      </c>
      <c r="D245" t="s">
        <v>248</v>
      </c>
      <c r="E245" t="s">
        <v>52</v>
      </c>
      <c r="F245" t="s">
        <v>33</v>
      </c>
      <c r="G245" t="s">
        <v>18</v>
      </c>
      <c r="H245" t="s">
        <v>70</v>
      </c>
      <c r="I245">
        <v>2</v>
      </c>
      <c r="J245">
        <v>2400</v>
      </c>
      <c r="K245">
        <v>0.05</v>
      </c>
      <c r="L245">
        <v>650</v>
      </c>
      <c r="M245" t="s">
        <v>48</v>
      </c>
      <c r="N245">
        <f t="shared" si="12"/>
        <v>4560</v>
      </c>
      <c r="O245">
        <f t="shared" si="13"/>
        <v>3260</v>
      </c>
      <c r="P245">
        <f t="shared" si="14"/>
        <v>4889717.5</v>
      </c>
      <c r="Q245">
        <f t="shared" si="15"/>
        <v>3732797.5</v>
      </c>
    </row>
    <row r="246" spans="1:17">
      <c r="A246" t="s">
        <v>559</v>
      </c>
      <c r="B246" s="1">
        <v>45923</v>
      </c>
      <c r="C246" t="s">
        <v>512</v>
      </c>
      <c r="D246" t="s">
        <v>560</v>
      </c>
      <c r="E246" t="s">
        <v>118</v>
      </c>
      <c r="F246" t="s">
        <v>40</v>
      </c>
      <c r="G246" t="s">
        <v>18</v>
      </c>
      <c r="H246" t="s">
        <v>19</v>
      </c>
      <c r="I246">
        <v>2</v>
      </c>
      <c r="J246">
        <v>1200</v>
      </c>
      <c r="K246">
        <v>0</v>
      </c>
      <c r="L246">
        <v>350</v>
      </c>
      <c r="M246" t="s">
        <v>20</v>
      </c>
      <c r="N246">
        <f t="shared" si="12"/>
        <v>2400</v>
      </c>
      <c r="O246">
        <f t="shared" si="13"/>
        <v>1700</v>
      </c>
      <c r="P246">
        <f t="shared" si="14"/>
        <v>4885157.5</v>
      </c>
      <c r="Q246">
        <f t="shared" si="15"/>
        <v>3729537.5</v>
      </c>
    </row>
    <row r="247" spans="1:17">
      <c r="A247" t="s">
        <v>561</v>
      </c>
      <c r="B247" s="1">
        <v>45676</v>
      </c>
      <c r="C247" t="s">
        <v>562</v>
      </c>
      <c r="D247" t="s">
        <v>187</v>
      </c>
      <c r="E247" t="s">
        <v>45</v>
      </c>
      <c r="F247" t="s">
        <v>25</v>
      </c>
      <c r="G247" t="s">
        <v>18</v>
      </c>
      <c r="H247" t="s">
        <v>19</v>
      </c>
      <c r="I247">
        <v>5</v>
      </c>
      <c r="J247">
        <v>1200</v>
      </c>
      <c r="K247">
        <v>0</v>
      </c>
      <c r="L247">
        <v>350</v>
      </c>
      <c r="M247" t="s">
        <v>28</v>
      </c>
      <c r="N247">
        <f t="shared" si="12"/>
        <v>6000</v>
      </c>
      <c r="O247">
        <f t="shared" si="13"/>
        <v>4250</v>
      </c>
      <c r="P247">
        <f t="shared" si="14"/>
        <v>4882757.5</v>
      </c>
      <c r="Q247">
        <f t="shared" si="15"/>
        <v>3727837.5</v>
      </c>
    </row>
    <row r="248" spans="1:17">
      <c r="A248" t="s">
        <v>563</v>
      </c>
      <c r="B248" s="1">
        <v>45904</v>
      </c>
      <c r="C248" t="s">
        <v>320</v>
      </c>
      <c r="D248" t="s">
        <v>99</v>
      </c>
      <c r="E248" t="s">
        <v>24</v>
      </c>
      <c r="F248" t="s">
        <v>33</v>
      </c>
      <c r="G248" t="s">
        <v>18</v>
      </c>
      <c r="H248" t="s">
        <v>70</v>
      </c>
      <c r="I248">
        <v>3</v>
      </c>
      <c r="J248">
        <v>2400</v>
      </c>
      <c r="K248">
        <v>0.15</v>
      </c>
      <c r="L248">
        <v>650</v>
      </c>
      <c r="M248" t="s">
        <v>48</v>
      </c>
      <c r="N248">
        <f t="shared" si="12"/>
        <v>6120</v>
      </c>
      <c r="O248">
        <f t="shared" si="13"/>
        <v>4170</v>
      </c>
      <c r="P248">
        <f t="shared" si="14"/>
        <v>4876757.5</v>
      </c>
      <c r="Q248">
        <f t="shared" si="15"/>
        <v>3723587.5</v>
      </c>
    </row>
    <row r="249" spans="1:17">
      <c r="A249" t="s">
        <v>564</v>
      </c>
      <c r="B249" s="1">
        <v>45949</v>
      </c>
      <c r="C249" t="s">
        <v>256</v>
      </c>
      <c r="D249" t="s">
        <v>232</v>
      </c>
      <c r="E249" t="s">
        <v>24</v>
      </c>
      <c r="F249" t="s">
        <v>17</v>
      </c>
      <c r="G249" t="s">
        <v>46</v>
      </c>
      <c r="H249" t="s">
        <v>340</v>
      </c>
      <c r="I249">
        <v>3</v>
      </c>
      <c r="J249">
        <v>1400</v>
      </c>
      <c r="K249">
        <v>0</v>
      </c>
      <c r="L249">
        <v>450</v>
      </c>
      <c r="M249" t="s">
        <v>48</v>
      </c>
      <c r="N249">
        <f t="shared" si="12"/>
        <v>4200</v>
      </c>
      <c r="O249">
        <f t="shared" si="13"/>
        <v>2850</v>
      </c>
      <c r="P249">
        <f t="shared" si="14"/>
        <v>4870637.5</v>
      </c>
      <c r="Q249">
        <f t="shared" si="15"/>
        <v>3719417.5</v>
      </c>
    </row>
    <row r="250" spans="1:17">
      <c r="A250" t="s">
        <v>565</v>
      </c>
      <c r="B250" s="1">
        <v>45746</v>
      </c>
      <c r="C250" t="s">
        <v>387</v>
      </c>
      <c r="D250" t="s">
        <v>301</v>
      </c>
      <c r="E250" t="s">
        <v>24</v>
      </c>
      <c r="F250" t="s">
        <v>40</v>
      </c>
      <c r="G250" t="s">
        <v>34</v>
      </c>
      <c r="H250" t="s">
        <v>41</v>
      </c>
      <c r="I250">
        <v>2</v>
      </c>
      <c r="J250">
        <v>52000</v>
      </c>
      <c r="K250">
        <v>0.1</v>
      </c>
      <c r="L250">
        <v>9000</v>
      </c>
      <c r="M250" t="s">
        <v>28</v>
      </c>
      <c r="N250">
        <f t="shared" si="12"/>
        <v>93600</v>
      </c>
      <c r="O250">
        <f t="shared" si="13"/>
        <v>75600</v>
      </c>
      <c r="P250">
        <f t="shared" si="14"/>
        <v>4866437.5</v>
      </c>
      <c r="Q250">
        <f t="shared" si="15"/>
        <v>3716567.5</v>
      </c>
    </row>
    <row r="251" spans="1:17">
      <c r="A251" t="s">
        <v>566</v>
      </c>
      <c r="B251" s="1">
        <v>45928</v>
      </c>
      <c r="C251" t="s">
        <v>228</v>
      </c>
      <c r="D251" t="s">
        <v>567</v>
      </c>
      <c r="E251" t="s">
        <v>84</v>
      </c>
      <c r="F251" t="s">
        <v>40</v>
      </c>
      <c r="G251" t="s">
        <v>18</v>
      </c>
      <c r="H251" t="s">
        <v>19</v>
      </c>
      <c r="I251">
        <v>3</v>
      </c>
      <c r="J251">
        <v>1200</v>
      </c>
      <c r="K251">
        <v>0.15</v>
      </c>
      <c r="L251">
        <v>350</v>
      </c>
      <c r="M251" t="s">
        <v>28</v>
      </c>
      <c r="N251">
        <f t="shared" si="12"/>
        <v>3060</v>
      </c>
      <c r="O251">
        <f t="shared" si="13"/>
        <v>2010</v>
      </c>
      <c r="P251">
        <f t="shared" si="14"/>
        <v>4772837.5</v>
      </c>
      <c r="Q251">
        <f t="shared" si="15"/>
        <v>3640967.5</v>
      </c>
    </row>
    <row r="252" spans="1:17">
      <c r="A252" t="s">
        <v>568</v>
      </c>
      <c r="B252" s="1">
        <v>45936</v>
      </c>
      <c r="C252" t="s">
        <v>429</v>
      </c>
      <c r="D252" t="s">
        <v>132</v>
      </c>
      <c r="E252" t="s">
        <v>32</v>
      </c>
      <c r="F252" t="s">
        <v>33</v>
      </c>
      <c r="G252" t="s">
        <v>46</v>
      </c>
      <c r="H252" t="s">
        <v>340</v>
      </c>
      <c r="I252">
        <v>4</v>
      </c>
      <c r="J252">
        <v>1400</v>
      </c>
      <c r="K252">
        <v>0.05</v>
      </c>
      <c r="L252">
        <v>450</v>
      </c>
      <c r="M252" t="s">
        <v>20</v>
      </c>
      <c r="N252">
        <f t="shared" si="12"/>
        <v>5320</v>
      </c>
      <c r="O252">
        <f t="shared" si="13"/>
        <v>3520</v>
      </c>
      <c r="P252">
        <f t="shared" si="14"/>
        <v>4769777.5</v>
      </c>
      <c r="Q252">
        <f t="shared" si="15"/>
        <v>3638957.5</v>
      </c>
    </row>
    <row r="253" spans="1:17">
      <c r="A253" t="s">
        <v>569</v>
      </c>
      <c r="B253" s="1">
        <v>45922</v>
      </c>
      <c r="C253" t="s">
        <v>375</v>
      </c>
      <c r="D253" t="s">
        <v>554</v>
      </c>
      <c r="E253" t="s">
        <v>39</v>
      </c>
      <c r="F253" t="s">
        <v>17</v>
      </c>
      <c r="G253" t="s">
        <v>18</v>
      </c>
      <c r="H253" t="s">
        <v>70</v>
      </c>
      <c r="I253">
        <v>1</v>
      </c>
      <c r="J253">
        <v>2400</v>
      </c>
      <c r="K253">
        <v>0.1</v>
      </c>
      <c r="L253">
        <v>650</v>
      </c>
      <c r="M253" t="s">
        <v>28</v>
      </c>
      <c r="N253">
        <f t="shared" si="12"/>
        <v>2160</v>
      </c>
      <c r="O253">
        <f t="shared" si="13"/>
        <v>1510</v>
      </c>
      <c r="P253">
        <f t="shared" si="14"/>
        <v>4764457.5</v>
      </c>
      <c r="Q253">
        <f t="shared" si="15"/>
        <v>3635437.5</v>
      </c>
    </row>
    <row r="254" spans="1:17">
      <c r="A254" t="s">
        <v>570</v>
      </c>
      <c r="B254" s="1">
        <v>45658</v>
      </c>
      <c r="C254" t="s">
        <v>364</v>
      </c>
      <c r="D254" t="s">
        <v>177</v>
      </c>
      <c r="E254" t="s">
        <v>45</v>
      </c>
      <c r="F254" t="s">
        <v>40</v>
      </c>
      <c r="G254" t="s">
        <v>26</v>
      </c>
      <c r="H254" t="s">
        <v>27</v>
      </c>
      <c r="I254">
        <v>1</v>
      </c>
      <c r="J254">
        <v>22000</v>
      </c>
      <c r="K254">
        <v>0</v>
      </c>
      <c r="L254">
        <v>5000</v>
      </c>
      <c r="M254" t="s">
        <v>48</v>
      </c>
      <c r="N254">
        <f t="shared" si="12"/>
        <v>22000</v>
      </c>
      <c r="O254">
        <f t="shared" si="13"/>
        <v>17000</v>
      </c>
      <c r="P254">
        <f t="shared" si="14"/>
        <v>4762297.5</v>
      </c>
      <c r="Q254">
        <f t="shared" si="15"/>
        <v>3633927.5</v>
      </c>
    </row>
    <row r="255" spans="1:17">
      <c r="A255" t="s">
        <v>571</v>
      </c>
      <c r="B255" s="1">
        <v>45718</v>
      </c>
      <c r="C255" t="s">
        <v>250</v>
      </c>
      <c r="D255" t="s">
        <v>572</v>
      </c>
      <c r="E255" t="s">
        <v>45</v>
      </c>
      <c r="F255" t="s">
        <v>33</v>
      </c>
      <c r="G255" t="s">
        <v>34</v>
      </c>
      <c r="H255" t="s">
        <v>106</v>
      </c>
      <c r="I255">
        <v>1</v>
      </c>
      <c r="J255">
        <v>650</v>
      </c>
      <c r="K255">
        <v>0.15</v>
      </c>
      <c r="L255">
        <v>200</v>
      </c>
      <c r="M255" t="s">
        <v>28</v>
      </c>
      <c r="N255">
        <f t="shared" si="12"/>
        <v>552.5</v>
      </c>
      <c r="O255">
        <f t="shared" si="13"/>
        <v>352.5</v>
      </c>
      <c r="P255">
        <f t="shared" si="14"/>
        <v>4740297.5</v>
      </c>
      <c r="Q255">
        <f t="shared" si="15"/>
        <v>3616927.5</v>
      </c>
    </row>
    <row r="256" spans="1:17">
      <c r="A256" t="s">
        <v>573</v>
      </c>
      <c r="B256" s="1">
        <v>45677</v>
      </c>
      <c r="C256" t="s">
        <v>574</v>
      </c>
      <c r="D256" t="s">
        <v>416</v>
      </c>
      <c r="E256" t="s">
        <v>32</v>
      </c>
      <c r="F256" t="s">
        <v>25</v>
      </c>
      <c r="G256" t="s">
        <v>46</v>
      </c>
      <c r="H256" t="s">
        <v>47</v>
      </c>
      <c r="I256">
        <v>1</v>
      </c>
      <c r="J256">
        <v>550</v>
      </c>
      <c r="K256">
        <v>0.05</v>
      </c>
      <c r="L256">
        <v>180</v>
      </c>
      <c r="M256" t="s">
        <v>48</v>
      </c>
      <c r="N256">
        <f t="shared" si="12"/>
        <v>522.5</v>
      </c>
      <c r="O256">
        <f t="shared" si="13"/>
        <v>342.5</v>
      </c>
      <c r="P256">
        <f t="shared" si="14"/>
        <v>4739745</v>
      </c>
      <c r="Q256">
        <f t="shared" si="15"/>
        <v>3616575</v>
      </c>
    </row>
    <row r="257" spans="1:17">
      <c r="A257" t="s">
        <v>575</v>
      </c>
      <c r="B257" s="1">
        <v>45774</v>
      </c>
      <c r="C257" t="s">
        <v>576</v>
      </c>
      <c r="D257" t="s">
        <v>414</v>
      </c>
      <c r="E257" t="s">
        <v>32</v>
      </c>
      <c r="F257" t="s">
        <v>25</v>
      </c>
      <c r="G257" t="s">
        <v>26</v>
      </c>
      <c r="H257" t="s">
        <v>153</v>
      </c>
      <c r="I257">
        <v>3</v>
      </c>
      <c r="J257">
        <v>4200</v>
      </c>
      <c r="K257">
        <v>0</v>
      </c>
      <c r="L257">
        <v>1000</v>
      </c>
      <c r="M257" t="s">
        <v>28</v>
      </c>
      <c r="N257">
        <f t="shared" si="12"/>
        <v>12600</v>
      </c>
      <c r="O257">
        <f t="shared" si="13"/>
        <v>9600</v>
      </c>
      <c r="P257">
        <f t="shared" si="14"/>
        <v>4739222.5</v>
      </c>
      <c r="Q257">
        <f t="shared" si="15"/>
        <v>3616232.5</v>
      </c>
    </row>
    <row r="258" spans="1:17">
      <c r="A258" t="s">
        <v>577</v>
      </c>
      <c r="B258" s="1">
        <v>45961</v>
      </c>
      <c r="C258" t="s">
        <v>166</v>
      </c>
      <c r="D258" t="s">
        <v>491</v>
      </c>
      <c r="E258" t="s">
        <v>24</v>
      </c>
      <c r="F258" t="s">
        <v>40</v>
      </c>
      <c r="G258" t="s">
        <v>46</v>
      </c>
      <c r="H258" t="s">
        <v>340</v>
      </c>
      <c r="I258">
        <v>5</v>
      </c>
      <c r="J258">
        <v>1400</v>
      </c>
      <c r="K258">
        <v>0</v>
      </c>
      <c r="L258">
        <v>450</v>
      </c>
      <c r="M258" t="s">
        <v>20</v>
      </c>
      <c r="N258">
        <f t="shared" ref="N258:N321" si="16">I258*J258*(1-K258)</f>
        <v>7000</v>
      </c>
      <c r="O258">
        <f t="shared" ref="O258:O321" si="17">N258-(L258*I258)</f>
        <v>4750</v>
      </c>
      <c r="P258">
        <f t="shared" ref="P258:P321" si="18">SUM(N258:N757)</f>
        <v>4726622.5</v>
      </c>
      <c r="Q258">
        <f t="shared" ref="Q258:Q321" si="19">SUM(O258:O757)</f>
        <v>3606632.5</v>
      </c>
    </row>
    <row r="259" spans="1:17">
      <c r="A259" t="s">
        <v>578</v>
      </c>
      <c r="B259" s="1">
        <v>46011</v>
      </c>
      <c r="C259" t="s">
        <v>114</v>
      </c>
      <c r="D259" t="s">
        <v>579</v>
      </c>
      <c r="E259" t="s">
        <v>84</v>
      </c>
      <c r="F259" t="s">
        <v>33</v>
      </c>
      <c r="G259" t="s">
        <v>18</v>
      </c>
      <c r="H259" t="s">
        <v>136</v>
      </c>
      <c r="I259">
        <v>2</v>
      </c>
      <c r="J259">
        <v>2800</v>
      </c>
      <c r="K259">
        <v>0.15</v>
      </c>
      <c r="L259">
        <v>750</v>
      </c>
      <c r="M259" t="s">
        <v>20</v>
      </c>
      <c r="N259">
        <f t="shared" si="16"/>
        <v>4760</v>
      </c>
      <c r="O259">
        <f t="shared" si="17"/>
        <v>3260</v>
      </c>
      <c r="P259">
        <f t="shared" si="18"/>
        <v>4719622.5</v>
      </c>
      <c r="Q259">
        <f t="shared" si="19"/>
        <v>3601882.5</v>
      </c>
    </row>
    <row r="260" spans="1:17">
      <c r="A260" t="s">
        <v>580</v>
      </c>
      <c r="B260" s="1">
        <v>45720</v>
      </c>
      <c r="C260" t="s">
        <v>101</v>
      </c>
      <c r="D260" t="s">
        <v>581</v>
      </c>
      <c r="E260" t="s">
        <v>45</v>
      </c>
      <c r="F260" t="s">
        <v>17</v>
      </c>
      <c r="G260" t="s">
        <v>34</v>
      </c>
      <c r="H260" t="s">
        <v>106</v>
      </c>
      <c r="I260">
        <v>2</v>
      </c>
      <c r="J260">
        <v>650</v>
      </c>
      <c r="K260">
        <v>0.15</v>
      </c>
      <c r="L260">
        <v>200</v>
      </c>
      <c r="M260" t="s">
        <v>28</v>
      </c>
      <c r="N260">
        <f t="shared" si="16"/>
        <v>1105</v>
      </c>
      <c r="O260">
        <f t="shared" si="17"/>
        <v>705</v>
      </c>
      <c r="P260">
        <f t="shared" si="18"/>
        <v>4714862.5</v>
      </c>
      <c r="Q260">
        <f t="shared" si="19"/>
        <v>3598622.5</v>
      </c>
    </row>
    <row r="261" spans="1:17">
      <c r="A261" t="s">
        <v>582</v>
      </c>
      <c r="B261" s="1">
        <v>45718</v>
      </c>
      <c r="C261" t="s">
        <v>503</v>
      </c>
      <c r="D261" t="s">
        <v>226</v>
      </c>
      <c r="E261" t="s">
        <v>24</v>
      </c>
      <c r="F261" t="s">
        <v>40</v>
      </c>
      <c r="G261" t="s">
        <v>46</v>
      </c>
      <c r="H261" t="s">
        <v>340</v>
      </c>
      <c r="I261">
        <v>3</v>
      </c>
      <c r="J261">
        <v>1400</v>
      </c>
      <c r="K261">
        <v>0</v>
      </c>
      <c r="L261">
        <v>450</v>
      </c>
      <c r="M261" t="s">
        <v>28</v>
      </c>
      <c r="N261">
        <f t="shared" si="16"/>
        <v>4200</v>
      </c>
      <c r="O261">
        <f t="shared" si="17"/>
        <v>2850</v>
      </c>
      <c r="P261">
        <f t="shared" si="18"/>
        <v>4713757.5</v>
      </c>
      <c r="Q261">
        <f t="shared" si="19"/>
        <v>3597917.5</v>
      </c>
    </row>
    <row r="262" spans="1:17">
      <c r="A262" t="s">
        <v>583</v>
      </c>
      <c r="B262" s="1">
        <v>45809</v>
      </c>
      <c r="C262" t="s">
        <v>584</v>
      </c>
      <c r="D262" t="s">
        <v>585</v>
      </c>
      <c r="E262" t="s">
        <v>16</v>
      </c>
      <c r="F262" t="s">
        <v>33</v>
      </c>
      <c r="G262" t="s">
        <v>46</v>
      </c>
      <c r="H262" t="s">
        <v>60</v>
      </c>
      <c r="I262">
        <v>3</v>
      </c>
      <c r="J262">
        <v>2600</v>
      </c>
      <c r="K262">
        <v>0.15</v>
      </c>
      <c r="L262">
        <v>800</v>
      </c>
      <c r="M262" t="s">
        <v>28</v>
      </c>
      <c r="N262">
        <f t="shared" si="16"/>
        <v>6630</v>
      </c>
      <c r="O262">
        <f t="shared" si="17"/>
        <v>4230</v>
      </c>
      <c r="P262">
        <f t="shared" si="18"/>
        <v>4709557.5</v>
      </c>
      <c r="Q262">
        <f t="shared" si="19"/>
        <v>3595067.5</v>
      </c>
    </row>
    <row r="263" spans="1:17">
      <c r="A263" t="s">
        <v>586</v>
      </c>
      <c r="B263" s="1">
        <v>45789</v>
      </c>
      <c r="C263" t="s">
        <v>587</v>
      </c>
      <c r="D263" t="s">
        <v>459</v>
      </c>
      <c r="E263" t="s">
        <v>45</v>
      </c>
      <c r="F263" t="s">
        <v>25</v>
      </c>
      <c r="G263" t="s">
        <v>26</v>
      </c>
      <c r="H263" t="s">
        <v>92</v>
      </c>
      <c r="I263">
        <v>5</v>
      </c>
      <c r="J263">
        <v>15000</v>
      </c>
      <c r="K263">
        <v>0</v>
      </c>
      <c r="L263">
        <v>3500</v>
      </c>
      <c r="M263" t="s">
        <v>28</v>
      </c>
      <c r="N263">
        <f t="shared" si="16"/>
        <v>75000</v>
      </c>
      <c r="O263">
        <f t="shared" si="17"/>
        <v>57500</v>
      </c>
      <c r="P263">
        <f t="shared" si="18"/>
        <v>4702927.5</v>
      </c>
      <c r="Q263">
        <f t="shared" si="19"/>
        <v>3590837.5</v>
      </c>
    </row>
    <row r="264" spans="1:17">
      <c r="A264" t="s">
        <v>588</v>
      </c>
      <c r="B264" s="1">
        <v>45712</v>
      </c>
      <c r="C264" t="s">
        <v>533</v>
      </c>
      <c r="D264" t="s">
        <v>416</v>
      </c>
      <c r="E264" t="s">
        <v>39</v>
      </c>
      <c r="F264" t="s">
        <v>25</v>
      </c>
      <c r="G264" t="s">
        <v>26</v>
      </c>
      <c r="H264" t="s">
        <v>27</v>
      </c>
      <c r="I264">
        <v>3</v>
      </c>
      <c r="J264">
        <v>22000</v>
      </c>
      <c r="K264">
        <v>0</v>
      </c>
      <c r="L264">
        <v>5000</v>
      </c>
      <c r="M264" t="s">
        <v>48</v>
      </c>
      <c r="N264">
        <f t="shared" si="16"/>
        <v>66000</v>
      </c>
      <c r="O264">
        <f t="shared" si="17"/>
        <v>51000</v>
      </c>
      <c r="P264">
        <f t="shared" si="18"/>
        <v>4627927.5</v>
      </c>
      <c r="Q264">
        <f t="shared" si="19"/>
        <v>3533337.5</v>
      </c>
    </row>
    <row r="265" spans="1:17">
      <c r="A265" t="s">
        <v>589</v>
      </c>
      <c r="B265" s="1">
        <v>45866</v>
      </c>
      <c r="C265" t="s">
        <v>494</v>
      </c>
      <c r="D265" t="s">
        <v>211</v>
      </c>
      <c r="E265" t="s">
        <v>16</v>
      </c>
      <c r="F265" t="s">
        <v>33</v>
      </c>
      <c r="G265" t="s">
        <v>46</v>
      </c>
      <c r="H265" t="s">
        <v>60</v>
      </c>
      <c r="I265">
        <v>2</v>
      </c>
      <c r="J265">
        <v>2600</v>
      </c>
      <c r="K265">
        <v>0</v>
      </c>
      <c r="L265">
        <v>800</v>
      </c>
      <c r="M265" t="s">
        <v>48</v>
      </c>
      <c r="N265">
        <f t="shared" si="16"/>
        <v>5200</v>
      </c>
      <c r="O265">
        <f t="shared" si="17"/>
        <v>3600</v>
      </c>
      <c r="P265">
        <f t="shared" si="18"/>
        <v>4561927.5</v>
      </c>
      <c r="Q265">
        <f t="shared" si="19"/>
        <v>3482337.5</v>
      </c>
    </row>
    <row r="266" spans="1:17">
      <c r="A266" t="s">
        <v>590</v>
      </c>
      <c r="B266" s="1">
        <v>45812</v>
      </c>
      <c r="C266" t="s">
        <v>101</v>
      </c>
      <c r="D266" t="s">
        <v>273</v>
      </c>
      <c r="E266" t="s">
        <v>84</v>
      </c>
      <c r="F266" t="s">
        <v>17</v>
      </c>
      <c r="G266" t="s">
        <v>18</v>
      </c>
      <c r="H266" t="s">
        <v>85</v>
      </c>
      <c r="I266">
        <v>4</v>
      </c>
      <c r="J266">
        <v>350</v>
      </c>
      <c r="K266">
        <v>0</v>
      </c>
      <c r="L266">
        <v>100</v>
      </c>
      <c r="M266" t="s">
        <v>20</v>
      </c>
      <c r="N266">
        <f t="shared" si="16"/>
        <v>1400</v>
      </c>
      <c r="O266">
        <f t="shared" si="17"/>
        <v>1000</v>
      </c>
      <c r="P266">
        <f t="shared" si="18"/>
        <v>4556727.5</v>
      </c>
      <c r="Q266">
        <f t="shared" si="19"/>
        <v>3478737.5</v>
      </c>
    </row>
    <row r="267" spans="1:17">
      <c r="A267" t="s">
        <v>591</v>
      </c>
      <c r="B267" s="1">
        <v>45696</v>
      </c>
      <c r="C267" t="s">
        <v>149</v>
      </c>
      <c r="D267" t="s">
        <v>284</v>
      </c>
      <c r="E267" t="s">
        <v>118</v>
      </c>
      <c r="F267" t="s">
        <v>33</v>
      </c>
      <c r="G267" t="s">
        <v>46</v>
      </c>
      <c r="H267" t="s">
        <v>96</v>
      </c>
      <c r="I267">
        <v>2</v>
      </c>
      <c r="J267">
        <v>3200</v>
      </c>
      <c r="K267">
        <v>0</v>
      </c>
      <c r="L267">
        <v>950</v>
      </c>
      <c r="M267" t="s">
        <v>28</v>
      </c>
      <c r="N267">
        <f t="shared" si="16"/>
        <v>6400</v>
      </c>
      <c r="O267">
        <f t="shared" si="17"/>
        <v>4500</v>
      </c>
      <c r="P267">
        <f t="shared" si="18"/>
        <v>4555327.5</v>
      </c>
      <c r="Q267">
        <f t="shared" si="19"/>
        <v>3477737.5</v>
      </c>
    </row>
    <row r="268" spans="1:17">
      <c r="A268" t="s">
        <v>592</v>
      </c>
      <c r="B268" s="1">
        <v>46003</v>
      </c>
      <c r="C268" t="s">
        <v>548</v>
      </c>
      <c r="D268" t="s">
        <v>593</v>
      </c>
      <c r="E268" t="s">
        <v>39</v>
      </c>
      <c r="F268" t="s">
        <v>25</v>
      </c>
      <c r="G268" t="s">
        <v>46</v>
      </c>
      <c r="H268" t="s">
        <v>80</v>
      </c>
      <c r="I268">
        <v>4</v>
      </c>
      <c r="J268">
        <v>1900</v>
      </c>
      <c r="K268">
        <v>0.05</v>
      </c>
      <c r="L268">
        <v>600</v>
      </c>
      <c r="M268" t="s">
        <v>28</v>
      </c>
      <c r="N268">
        <f t="shared" si="16"/>
        <v>7220</v>
      </c>
      <c r="O268">
        <f t="shared" si="17"/>
        <v>4820</v>
      </c>
      <c r="P268">
        <f t="shared" si="18"/>
        <v>4548927.5</v>
      </c>
      <c r="Q268">
        <f t="shared" si="19"/>
        <v>3473237.5</v>
      </c>
    </row>
    <row r="269" spans="1:17">
      <c r="A269" t="s">
        <v>594</v>
      </c>
      <c r="B269" s="1">
        <v>45668</v>
      </c>
      <c r="C269" t="s">
        <v>375</v>
      </c>
      <c r="D269" t="s">
        <v>51</v>
      </c>
      <c r="E269" t="s">
        <v>24</v>
      </c>
      <c r="F269" t="s">
        <v>33</v>
      </c>
      <c r="G269" t="s">
        <v>46</v>
      </c>
      <c r="H269" t="s">
        <v>96</v>
      </c>
      <c r="I269">
        <v>4</v>
      </c>
      <c r="J269">
        <v>3200</v>
      </c>
      <c r="K269">
        <v>0.05</v>
      </c>
      <c r="L269">
        <v>950</v>
      </c>
      <c r="M269" t="s">
        <v>28</v>
      </c>
      <c r="N269">
        <f t="shared" si="16"/>
        <v>12160</v>
      </c>
      <c r="O269">
        <f t="shared" si="17"/>
        <v>8360</v>
      </c>
      <c r="P269">
        <f t="shared" si="18"/>
        <v>4541707.5</v>
      </c>
      <c r="Q269">
        <f t="shared" si="19"/>
        <v>3468417.5</v>
      </c>
    </row>
    <row r="270" spans="1:17">
      <c r="A270" t="s">
        <v>595</v>
      </c>
      <c r="B270" s="1">
        <v>45774</v>
      </c>
      <c r="C270" t="s">
        <v>545</v>
      </c>
      <c r="D270" t="s">
        <v>398</v>
      </c>
      <c r="E270" t="s">
        <v>24</v>
      </c>
      <c r="F270" t="s">
        <v>17</v>
      </c>
      <c r="G270" t="s">
        <v>46</v>
      </c>
      <c r="H270" t="s">
        <v>80</v>
      </c>
      <c r="I270">
        <v>2</v>
      </c>
      <c r="J270">
        <v>1900</v>
      </c>
      <c r="K270">
        <v>0.15</v>
      </c>
      <c r="L270">
        <v>600</v>
      </c>
      <c r="M270" t="s">
        <v>20</v>
      </c>
      <c r="N270">
        <f t="shared" si="16"/>
        <v>3230</v>
      </c>
      <c r="O270">
        <f t="shared" si="17"/>
        <v>2030</v>
      </c>
      <c r="P270">
        <f t="shared" si="18"/>
        <v>4529547.5</v>
      </c>
      <c r="Q270">
        <f t="shared" si="19"/>
        <v>3460057.5</v>
      </c>
    </row>
    <row r="271" spans="1:17">
      <c r="A271" t="s">
        <v>596</v>
      </c>
      <c r="B271" s="1">
        <v>45701</v>
      </c>
      <c r="C271" t="s">
        <v>333</v>
      </c>
      <c r="D271" t="s">
        <v>335</v>
      </c>
      <c r="E271" t="s">
        <v>52</v>
      </c>
      <c r="F271" t="s">
        <v>33</v>
      </c>
      <c r="G271" t="s">
        <v>46</v>
      </c>
      <c r="H271" t="s">
        <v>47</v>
      </c>
      <c r="I271">
        <v>1</v>
      </c>
      <c r="J271">
        <v>550</v>
      </c>
      <c r="K271">
        <v>0.15</v>
      </c>
      <c r="L271">
        <v>180</v>
      </c>
      <c r="M271" t="s">
        <v>28</v>
      </c>
      <c r="N271">
        <f t="shared" si="16"/>
        <v>467.5</v>
      </c>
      <c r="O271">
        <f t="shared" si="17"/>
        <v>287.5</v>
      </c>
      <c r="P271">
        <f t="shared" si="18"/>
        <v>4526317.5</v>
      </c>
      <c r="Q271">
        <f t="shared" si="19"/>
        <v>3458027.5</v>
      </c>
    </row>
    <row r="272" spans="1:17">
      <c r="A272" t="s">
        <v>597</v>
      </c>
      <c r="B272" s="1">
        <v>45873</v>
      </c>
      <c r="C272" t="s">
        <v>143</v>
      </c>
      <c r="D272" t="s">
        <v>598</v>
      </c>
      <c r="E272" t="s">
        <v>32</v>
      </c>
      <c r="F272" t="s">
        <v>40</v>
      </c>
      <c r="G272" t="s">
        <v>26</v>
      </c>
      <c r="H272" t="s">
        <v>159</v>
      </c>
      <c r="I272">
        <v>5</v>
      </c>
      <c r="J272">
        <v>8500</v>
      </c>
      <c r="K272">
        <v>0.15</v>
      </c>
      <c r="L272">
        <v>2100</v>
      </c>
      <c r="M272" t="s">
        <v>28</v>
      </c>
      <c r="N272">
        <f t="shared" si="16"/>
        <v>36125</v>
      </c>
      <c r="O272">
        <f t="shared" si="17"/>
        <v>25625</v>
      </c>
      <c r="P272">
        <f t="shared" si="18"/>
        <v>4525850</v>
      </c>
      <c r="Q272">
        <f t="shared" si="19"/>
        <v>3457740</v>
      </c>
    </row>
    <row r="273" spans="1:17">
      <c r="A273" t="s">
        <v>599</v>
      </c>
      <c r="B273" s="1">
        <v>46021</v>
      </c>
      <c r="C273" t="s">
        <v>125</v>
      </c>
      <c r="D273" t="s">
        <v>313</v>
      </c>
      <c r="E273" t="s">
        <v>32</v>
      </c>
      <c r="F273" t="s">
        <v>40</v>
      </c>
      <c r="G273" t="s">
        <v>26</v>
      </c>
      <c r="H273" t="s">
        <v>159</v>
      </c>
      <c r="I273">
        <v>1</v>
      </c>
      <c r="J273">
        <v>8500</v>
      </c>
      <c r="K273">
        <v>0</v>
      </c>
      <c r="L273">
        <v>2100</v>
      </c>
      <c r="M273" t="s">
        <v>28</v>
      </c>
      <c r="N273">
        <f t="shared" si="16"/>
        <v>8500</v>
      </c>
      <c r="O273">
        <f t="shared" si="17"/>
        <v>6400</v>
      </c>
      <c r="P273">
        <f t="shared" si="18"/>
        <v>4489725</v>
      </c>
      <c r="Q273">
        <f t="shared" si="19"/>
        <v>3432115</v>
      </c>
    </row>
    <row r="274" spans="1:17">
      <c r="A274" t="s">
        <v>600</v>
      </c>
      <c r="B274" s="1">
        <v>45700</v>
      </c>
      <c r="C274" t="s">
        <v>601</v>
      </c>
      <c r="D274" t="s">
        <v>488</v>
      </c>
      <c r="E274" t="s">
        <v>45</v>
      </c>
      <c r="F274" t="s">
        <v>33</v>
      </c>
      <c r="G274" t="s">
        <v>46</v>
      </c>
      <c r="H274" t="s">
        <v>47</v>
      </c>
      <c r="I274">
        <v>2</v>
      </c>
      <c r="J274">
        <v>550</v>
      </c>
      <c r="K274">
        <v>0.1</v>
      </c>
      <c r="L274">
        <v>180</v>
      </c>
      <c r="M274" t="s">
        <v>48</v>
      </c>
      <c r="N274">
        <f t="shared" si="16"/>
        <v>990</v>
      </c>
      <c r="O274">
        <f t="shared" si="17"/>
        <v>630</v>
      </c>
      <c r="P274">
        <f t="shared" si="18"/>
        <v>4481225</v>
      </c>
      <c r="Q274">
        <f t="shared" si="19"/>
        <v>3425715</v>
      </c>
    </row>
    <row r="275" spans="1:17">
      <c r="A275" t="s">
        <v>602</v>
      </c>
      <c r="B275" s="1">
        <v>45739</v>
      </c>
      <c r="C275" t="s">
        <v>510</v>
      </c>
      <c r="D275" t="s">
        <v>603</v>
      </c>
      <c r="E275" t="s">
        <v>16</v>
      </c>
      <c r="F275" t="s">
        <v>40</v>
      </c>
      <c r="G275" t="s">
        <v>46</v>
      </c>
      <c r="H275" t="s">
        <v>47</v>
      </c>
      <c r="I275">
        <v>4</v>
      </c>
      <c r="J275">
        <v>550</v>
      </c>
      <c r="K275">
        <v>0</v>
      </c>
      <c r="L275">
        <v>180</v>
      </c>
      <c r="M275" t="s">
        <v>48</v>
      </c>
      <c r="N275">
        <f t="shared" si="16"/>
        <v>2200</v>
      </c>
      <c r="O275">
        <f t="shared" si="17"/>
        <v>1480</v>
      </c>
      <c r="P275">
        <f t="shared" si="18"/>
        <v>4480235</v>
      </c>
      <c r="Q275">
        <f t="shared" si="19"/>
        <v>3425085</v>
      </c>
    </row>
    <row r="276" spans="1:17">
      <c r="A276" t="s">
        <v>604</v>
      </c>
      <c r="B276" s="1">
        <v>45695</v>
      </c>
      <c r="C276" t="s">
        <v>605</v>
      </c>
      <c r="D276" t="s">
        <v>380</v>
      </c>
      <c r="E276" t="s">
        <v>45</v>
      </c>
      <c r="F276" t="s">
        <v>33</v>
      </c>
      <c r="G276" t="s">
        <v>18</v>
      </c>
      <c r="H276" t="s">
        <v>85</v>
      </c>
      <c r="I276">
        <v>3</v>
      </c>
      <c r="J276">
        <v>350</v>
      </c>
      <c r="K276">
        <v>0.1</v>
      </c>
      <c r="L276">
        <v>100</v>
      </c>
      <c r="M276" t="s">
        <v>20</v>
      </c>
      <c r="N276">
        <f t="shared" si="16"/>
        <v>945</v>
      </c>
      <c r="O276">
        <f t="shared" si="17"/>
        <v>645</v>
      </c>
      <c r="P276">
        <f t="shared" si="18"/>
        <v>4478035</v>
      </c>
      <c r="Q276">
        <f t="shared" si="19"/>
        <v>3423605</v>
      </c>
    </row>
    <row r="277" spans="1:17">
      <c r="A277" t="s">
        <v>606</v>
      </c>
      <c r="B277" s="1">
        <v>45738</v>
      </c>
      <c r="C277" t="s">
        <v>607</v>
      </c>
      <c r="D277" t="s">
        <v>608</v>
      </c>
      <c r="E277" t="s">
        <v>118</v>
      </c>
      <c r="F277" t="s">
        <v>33</v>
      </c>
      <c r="G277" t="s">
        <v>46</v>
      </c>
      <c r="H277" t="s">
        <v>96</v>
      </c>
      <c r="I277">
        <v>2</v>
      </c>
      <c r="J277">
        <v>3200</v>
      </c>
      <c r="K277">
        <v>0</v>
      </c>
      <c r="L277">
        <v>950</v>
      </c>
      <c r="M277" t="s">
        <v>28</v>
      </c>
      <c r="N277">
        <f t="shared" si="16"/>
        <v>6400</v>
      </c>
      <c r="O277">
        <f t="shared" si="17"/>
        <v>4500</v>
      </c>
      <c r="P277">
        <f t="shared" si="18"/>
        <v>4477090</v>
      </c>
      <c r="Q277">
        <f t="shared" si="19"/>
        <v>3422960</v>
      </c>
    </row>
    <row r="278" spans="1:17">
      <c r="A278" t="s">
        <v>609</v>
      </c>
      <c r="B278" s="1">
        <v>45884</v>
      </c>
      <c r="C278" t="s">
        <v>68</v>
      </c>
      <c r="D278" t="s">
        <v>608</v>
      </c>
      <c r="E278" t="s">
        <v>118</v>
      </c>
      <c r="F278" t="s">
        <v>25</v>
      </c>
      <c r="G278" t="s">
        <v>34</v>
      </c>
      <c r="H278" t="s">
        <v>53</v>
      </c>
      <c r="I278">
        <v>4</v>
      </c>
      <c r="J278">
        <v>950</v>
      </c>
      <c r="K278">
        <v>0.15</v>
      </c>
      <c r="L278">
        <v>300</v>
      </c>
      <c r="M278" t="s">
        <v>28</v>
      </c>
      <c r="N278">
        <f t="shared" si="16"/>
        <v>3230</v>
      </c>
      <c r="O278">
        <f t="shared" si="17"/>
        <v>2030</v>
      </c>
      <c r="P278">
        <f t="shared" si="18"/>
        <v>4470690</v>
      </c>
      <c r="Q278">
        <f t="shared" si="19"/>
        <v>3418460</v>
      </c>
    </row>
    <row r="279" spans="1:17">
      <c r="A279" t="s">
        <v>610</v>
      </c>
      <c r="B279" s="1">
        <v>45695</v>
      </c>
      <c r="C279" t="s">
        <v>607</v>
      </c>
      <c r="D279" t="s">
        <v>167</v>
      </c>
      <c r="E279" t="s">
        <v>32</v>
      </c>
      <c r="F279" t="s">
        <v>40</v>
      </c>
      <c r="G279" t="s">
        <v>26</v>
      </c>
      <c r="H279" t="s">
        <v>92</v>
      </c>
      <c r="I279">
        <v>4</v>
      </c>
      <c r="J279">
        <v>15000</v>
      </c>
      <c r="K279">
        <v>0.1</v>
      </c>
      <c r="L279">
        <v>3500</v>
      </c>
      <c r="M279" t="s">
        <v>28</v>
      </c>
      <c r="N279">
        <f t="shared" si="16"/>
        <v>54000</v>
      </c>
      <c r="O279">
        <f t="shared" si="17"/>
        <v>40000</v>
      </c>
      <c r="P279">
        <f t="shared" si="18"/>
        <v>4467460</v>
      </c>
      <c r="Q279">
        <f t="shared" si="19"/>
        <v>3416430</v>
      </c>
    </row>
    <row r="280" spans="1:17">
      <c r="A280" t="s">
        <v>611</v>
      </c>
      <c r="B280" s="1">
        <v>45756</v>
      </c>
      <c r="C280" t="s">
        <v>548</v>
      </c>
      <c r="D280" t="s">
        <v>402</v>
      </c>
      <c r="E280" t="s">
        <v>32</v>
      </c>
      <c r="F280" t="s">
        <v>25</v>
      </c>
      <c r="G280" t="s">
        <v>34</v>
      </c>
      <c r="H280" t="s">
        <v>106</v>
      </c>
      <c r="I280">
        <v>1</v>
      </c>
      <c r="J280">
        <v>650</v>
      </c>
      <c r="K280">
        <v>0.05</v>
      </c>
      <c r="L280">
        <v>200</v>
      </c>
      <c r="M280" t="s">
        <v>48</v>
      </c>
      <c r="N280">
        <f t="shared" si="16"/>
        <v>617.5</v>
      </c>
      <c r="O280">
        <f t="shared" si="17"/>
        <v>417.5</v>
      </c>
      <c r="P280">
        <f t="shared" si="18"/>
        <v>4413460</v>
      </c>
      <c r="Q280">
        <f t="shared" si="19"/>
        <v>3376430</v>
      </c>
    </row>
    <row r="281" spans="1:17">
      <c r="A281" t="s">
        <v>612</v>
      </c>
      <c r="B281" s="1">
        <v>45921</v>
      </c>
      <c r="C281" t="s">
        <v>436</v>
      </c>
      <c r="D281" t="s">
        <v>613</v>
      </c>
      <c r="E281" t="s">
        <v>16</v>
      </c>
      <c r="F281" t="s">
        <v>33</v>
      </c>
      <c r="G281" t="s">
        <v>46</v>
      </c>
      <c r="H281" t="s">
        <v>80</v>
      </c>
      <c r="I281">
        <v>2</v>
      </c>
      <c r="J281">
        <v>1900</v>
      </c>
      <c r="K281">
        <v>0</v>
      </c>
      <c r="L281">
        <v>600</v>
      </c>
      <c r="M281" t="s">
        <v>20</v>
      </c>
      <c r="N281">
        <f t="shared" si="16"/>
        <v>3800</v>
      </c>
      <c r="O281">
        <f t="shared" si="17"/>
        <v>2600</v>
      </c>
      <c r="P281">
        <f t="shared" si="18"/>
        <v>4412842.5</v>
      </c>
      <c r="Q281">
        <f t="shared" si="19"/>
        <v>3376012.5</v>
      </c>
    </row>
    <row r="282" spans="1:17">
      <c r="A282" t="s">
        <v>614</v>
      </c>
      <c r="B282" s="1">
        <v>45985</v>
      </c>
      <c r="C282" t="s">
        <v>436</v>
      </c>
      <c r="D282" t="s">
        <v>541</v>
      </c>
      <c r="E282" t="s">
        <v>118</v>
      </c>
      <c r="F282" t="s">
        <v>25</v>
      </c>
      <c r="G282" t="s">
        <v>46</v>
      </c>
      <c r="H282" t="s">
        <v>80</v>
      </c>
      <c r="I282">
        <v>2</v>
      </c>
      <c r="J282">
        <v>1900</v>
      </c>
      <c r="K282">
        <v>0.1</v>
      </c>
      <c r="L282">
        <v>600</v>
      </c>
      <c r="M282" t="s">
        <v>48</v>
      </c>
      <c r="N282">
        <f t="shared" si="16"/>
        <v>3420</v>
      </c>
      <c r="O282">
        <f t="shared" si="17"/>
        <v>2220</v>
      </c>
      <c r="P282">
        <f t="shared" si="18"/>
        <v>4409042.5</v>
      </c>
      <c r="Q282">
        <f t="shared" si="19"/>
        <v>3373412.5</v>
      </c>
    </row>
    <row r="283" spans="1:17">
      <c r="A283" t="s">
        <v>615</v>
      </c>
      <c r="B283" s="1">
        <v>45811</v>
      </c>
      <c r="C283" t="s">
        <v>474</v>
      </c>
      <c r="D283" t="s">
        <v>616</v>
      </c>
      <c r="E283" t="s">
        <v>118</v>
      </c>
      <c r="F283" t="s">
        <v>40</v>
      </c>
      <c r="G283" t="s">
        <v>26</v>
      </c>
      <c r="H283" t="s">
        <v>159</v>
      </c>
      <c r="I283">
        <v>1</v>
      </c>
      <c r="J283">
        <v>8500</v>
      </c>
      <c r="K283">
        <v>0.15</v>
      </c>
      <c r="L283">
        <v>2100</v>
      </c>
      <c r="M283" t="s">
        <v>20</v>
      </c>
      <c r="N283">
        <f t="shared" si="16"/>
        <v>7225</v>
      </c>
      <c r="O283">
        <f t="shared" si="17"/>
        <v>5125</v>
      </c>
      <c r="P283">
        <f t="shared" si="18"/>
        <v>4405622.5</v>
      </c>
      <c r="Q283">
        <f t="shared" si="19"/>
        <v>3371192.5</v>
      </c>
    </row>
    <row r="284" spans="1:17">
      <c r="A284" t="s">
        <v>617</v>
      </c>
      <c r="B284" s="1">
        <v>45859</v>
      </c>
      <c r="C284" t="s">
        <v>618</v>
      </c>
      <c r="D284" t="s">
        <v>619</v>
      </c>
      <c r="E284" t="s">
        <v>84</v>
      </c>
      <c r="F284" t="s">
        <v>40</v>
      </c>
      <c r="G284" t="s">
        <v>26</v>
      </c>
      <c r="H284" t="s">
        <v>92</v>
      </c>
      <c r="I284">
        <v>4</v>
      </c>
      <c r="J284">
        <v>15000</v>
      </c>
      <c r="K284">
        <v>0</v>
      </c>
      <c r="L284">
        <v>3500</v>
      </c>
      <c r="M284" t="s">
        <v>48</v>
      </c>
      <c r="N284">
        <f t="shared" si="16"/>
        <v>60000</v>
      </c>
      <c r="O284">
        <f t="shared" si="17"/>
        <v>46000</v>
      </c>
      <c r="P284">
        <f t="shared" si="18"/>
        <v>4398397.5</v>
      </c>
      <c r="Q284">
        <f t="shared" si="19"/>
        <v>3366067.5</v>
      </c>
    </row>
    <row r="285" spans="1:17">
      <c r="A285" t="s">
        <v>620</v>
      </c>
      <c r="B285" s="1">
        <v>45935</v>
      </c>
      <c r="C285" t="s">
        <v>339</v>
      </c>
      <c r="D285" t="s">
        <v>59</v>
      </c>
      <c r="E285" t="s">
        <v>16</v>
      </c>
      <c r="F285" t="s">
        <v>17</v>
      </c>
      <c r="G285" t="s">
        <v>26</v>
      </c>
      <c r="H285" t="s">
        <v>159</v>
      </c>
      <c r="I285">
        <v>3</v>
      </c>
      <c r="J285">
        <v>8500</v>
      </c>
      <c r="K285">
        <v>0.1</v>
      </c>
      <c r="L285">
        <v>2100</v>
      </c>
      <c r="M285" t="s">
        <v>20</v>
      </c>
      <c r="N285">
        <f t="shared" si="16"/>
        <v>22950</v>
      </c>
      <c r="O285">
        <f t="shared" si="17"/>
        <v>16650</v>
      </c>
      <c r="P285">
        <f t="shared" si="18"/>
        <v>4338397.5</v>
      </c>
      <c r="Q285">
        <f t="shared" si="19"/>
        <v>3320067.5</v>
      </c>
    </row>
    <row r="286" spans="1:17">
      <c r="A286" t="s">
        <v>621</v>
      </c>
      <c r="B286" s="1">
        <v>45829</v>
      </c>
      <c r="C286" t="s">
        <v>622</v>
      </c>
      <c r="D286" t="s">
        <v>434</v>
      </c>
      <c r="E286" t="s">
        <v>45</v>
      </c>
      <c r="F286" t="s">
        <v>33</v>
      </c>
      <c r="G286" t="s">
        <v>34</v>
      </c>
      <c r="H286" t="s">
        <v>56</v>
      </c>
      <c r="I286">
        <v>2</v>
      </c>
      <c r="J286">
        <v>1800</v>
      </c>
      <c r="K286">
        <v>0.1</v>
      </c>
      <c r="L286">
        <v>650</v>
      </c>
      <c r="M286" t="s">
        <v>20</v>
      </c>
      <c r="N286">
        <f t="shared" si="16"/>
        <v>3240</v>
      </c>
      <c r="O286">
        <f t="shared" si="17"/>
        <v>1940</v>
      </c>
      <c r="P286">
        <f t="shared" si="18"/>
        <v>4315447.5</v>
      </c>
      <c r="Q286">
        <f t="shared" si="19"/>
        <v>3303417.5</v>
      </c>
    </row>
    <row r="287" spans="1:17">
      <c r="A287" t="s">
        <v>623</v>
      </c>
      <c r="B287" s="1">
        <v>45862</v>
      </c>
      <c r="C287" t="s">
        <v>624</v>
      </c>
      <c r="D287" t="s">
        <v>400</v>
      </c>
      <c r="E287" t="s">
        <v>24</v>
      </c>
      <c r="F287" t="s">
        <v>17</v>
      </c>
      <c r="G287" t="s">
        <v>46</v>
      </c>
      <c r="H287" t="s">
        <v>80</v>
      </c>
      <c r="I287">
        <v>5</v>
      </c>
      <c r="J287">
        <v>1900</v>
      </c>
      <c r="K287">
        <v>0.05</v>
      </c>
      <c r="L287">
        <v>600</v>
      </c>
      <c r="M287" t="s">
        <v>28</v>
      </c>
      <c r="N287">
        <f t="shared" si="16"/>
        <v>9025</v>
      </c>
      <c r="O287">
        <f t="shared" si="17"/>
        <v>6025</v>
      </c>
      <c r="P287">
        <f t="shared" si="18"/>
        <v>4312207.5</v>
      </c>
      <c r="Q287">
        <f t="shared" si="19"/>
        <v>3301477.5</v>
      </c>
    </row>
    <row r="288" spans="1:17">
      <c r="A288" t="s">
        <v>625</v>
      </c>
      <c r="B288" s="1">
        <v>45973</v>
      </c>
      <c r="C288" t="s">
        <v>348</v>
      </c>
      <c r="D288" t="s">
        <v>626</v>
      </c>
      <c r="E288" t="s">
        <v>45</v>
      </c>
      <c r="F288" t="s">
        <v>17</v>
      </c>
      <c r="G288" t="s">
        <v>46</v>
      </c>
      <c r="H288" t="s">
        <v>80</v>
      </c>
      <c r="I288">
        <v>5</v>
      </c>
      <c r="J288">
        <v>1900</v>
      </c>
      <c r="K288">
        <v>0</v>
      </c>
      <c r="L288">
        <v>600</v>
      </c>
      <c r="M288" t="s">
        <v>20</v>
      </c>
      <c r="N288">
        <f t="shared" si="16"/>
        <v>9500</v>
      </c>
      <c r="O288">
        <f t="shared" si="17"/>
        <v>6500</v>
      </c>
      <c r="P288">
        <f t="shared" si="18"/>
        <v>4303182.5</v>
      </c>
      <c r="Q288">
        <f t="shared" si="19"/>
        <v>3295452.5</v>
      </c>
    </row>
    <row r="289" spans="1:17">
      <c r="A289" t="s">
        <v>627</v>
      </c>
      <c r="B289" s="1">
        <v>45745</v>
      </c>
      <c r="C289" t="s">
        <v>618</v>
      </c>
      <c r="D289" t="s">
        <v>628</v>
      </c>
      <c r="E289" t="s">
        <v>16</v>
      </c>
      <c r="F289" t="s">
        <v>33</v>
      </c>
      <c r="G289" t="s">
        <v>34</v>
      </c>
      <c r="H289" t="s">
        <v>53</v>
      </c>
      <c r="I289">
        <v>5</v>
      </c>
      <c r="J289">
        <v>950</v>
      </c>
      <c r="K289">
        <v>0.15</v>
      </c>
      <c r="L289">
        <v>300</v>
      </c>
      <c r="M289" t="s">
        <v>28</v>
      </c>
      <c r="N289">
        <f t="shared" si="16"/>
        <v>4037.5</v>
      </c>
      <c r="O289">
        <f t="shared" si="17"/>
        <v>2537.5</v>
      </c>
      <c r="P289">
        <f t="shared" si="18"/>
        <v>4293682.5</v>
      </c>
      <c r="Q289">
        <f t="shared" si="19"/>
        <v>3288952.5</v>
      </c>
    </row>
    <row r="290" spans="1:17">
      <c r="A290" t="s">
        <v>629</v>
      </c>
      <c r="B290" s="1">
        <v>45849</v>
      </c>
      <c r="C290" t="s">
        <v>256</v>
      </c>
      <c r="D290" t="s">
        <v>161</v>
      </c>
      <c r="E290" t="s">
        <v>52</v>
      </c>
      <c r="F290" t="s">
        <v>33</v>
      </c>
      <c r="G290" t="s">
        <v>46</v>
      </c>
      <c r="H290" t="s">
        <v>80</v>
      </c>
      <c r="I290">
        <v>3</v>
      </c>
      <c r="J290">
        <v>1900</v>
      </c>
      <c r="K290">
        <v>0.15</v>
      </c>
      <c r="L290">
        <v>600</v>
      </c>
      <c r="M290" t="s">
        <v>20</v>
      </c>
      <c r="N290">
        <f t="shared" si="16"/>
        <v>4845</v>
      </c>
      <c r="O290">
        <f t="shared" si="17"/>
        <v>3045</v>
      </c>
      <c r="P290">
        <f t="shared" si="18"/>
        <v>4289645</v>
      </c>
      <c r="Q290">
        <f t="shared" si="19"/>
        <v>3286415</v>
      </c>
    </row>
    <row r="291" spans="1:17">
      <c r="A291" t="s">
        <v>630</v>
      </c>
      <c r="B291" s="1">
        <v>45861</v>
      </c>
      <c r="C291" t="s">
        <v>195</v>
      </c>
      <c r="D291" t="s">
        <v>398</v>
      </c>
      <c r="E291" t="s">
        <v>84</v>
      </c>
      <c r="F291" t="s">
        <v>25</v>
      </c>
      <c r="G291" t="s">
        <v>34</v>
      </c>
      <c r="H291" t="s">
        <v>41</v>
      </c>
      <c r="I291">
        <v>2</v>
      </c>
      <c r="J291">
        <v>52000</v>
      </c>
      <c r="K291">
        <v>0.1</v>
      </c>
      <c r="L291">
        <v>9000</v>
      </c>
      <c r="M291" t="s">
        <v>28</v>
      </c>
      <c r="N291">
        <f t="shared" si="16"/>
        <v>93600</v>
      </c>
      <c r="O291">
        <f t="shared" si="17"/>
        <v>75600</v>
      </c>
      <c r="P291">
        <f t="shared" si="18"/>
        <v>4284800</v>
      </c>
      <c r="Q291">
        <f t="shared" si="19"/>
        <v>3283370</v>
      </c>
    </row>
    <row r="292" spans="1:17">
      <c r="A292" t="s">
        <v>631</v>
      </c>
      <c r="B292" s="1">
        <v>45890</v>
      </c>
      <c r="C292" t="s">
        <v>512</v>
      </c>
      <c r="D292" t="s">
        <v>183</v>
      </c>
      <c r="E292" t="s">
        <v>32</v>
      </c>
      <c r="F292" t="s">
        <v>25</v>
      </c>
      <c r="G292" t="s">
        <v>46</v>
      </c>
      <c r="H292" t="s">
        <v>47</v>
      </c>
      <c r="I292">
        <v>1</v>
      </c>
      <c r="J292">
        <v>550</v>
      </c>
      <c r="K292">
        <v>0</v>
      </c>
      <c r="L292">
        <v>180</v>
      </c>
      <c r="M292" t="s">
        <v>48</v>
      </c>
      <c r="N292">
        <f t="shared" si="16"/>
        <v>550</v>
      </c>
      <c r="O292">
        <f t="shared" si="17"/>
        <v>370</v>
      </c>
      <c r="P292">
        <f t="shared" si="18"/>
        <v>4191200</v>
      </c>
      <c r="Q292">
        <f t="shared" si="19"/>
        <v>3207770</v>
      </c>
    </row>
    <row r="293" spans="1:17">
      <c r="A293" t="s">
        <v>632</v>
      </c>
      <c r="B293" s="1">
        <v>45979</v>
      </c>
      <c r="C293" t="s">
        <v>104</v>
      </c>
      <c r="D293" t="s">
        <v>55</v>
      </c>
      <c r="E293" t="s">
        <v>52</v>
      </c>
      <c r="F293" t="s">
        <v>25</v>
      </c>
      <c r="G293" t="s">
        <v>34</v>
      </c>
      <c r="H293" t="s">
        <v>106</v>
      </c>
      <c r="I293">
        <v>1</v>
      </c>
      <c r="J293">
        <v>650</v>
      </c>
      <c r="K293">
        <v>0.15</v>
      </c>
      <c r="L293">
        <v>200</v>
      </c>
      <c r="M293" t="s">
        <v>28</v>
      </c>
      <c r="N293">
        <f t="shared" si="16"/>
        <v>552.5</v>
      </c>
      <c r="O293">
        <f t="shared" si="17"/>
        <v>352.5</v>
      </c>
      <c r="P293">
        <f t="shared" si="18"/>
        <v>4190650</v>
      </c>
      <c r="Q293">
        <f t="shared" si="19"/>
        <v>3207400</v>
      </c>
    </row>
    <row r="294" spans="1:17">
      <c r="A294" t="s">
        <v>633</v>
      </c>
      <c r="B294" s="1">
        <v>45902</v>
      </c>
      <c r="C294" t="s">
        <v>429</v>
      </c>
      <c r="D294" t="s">
        <v>161</v>
      </c>
      <c r="E294" t="s">
        <v>16</v>
      </c>
      <c r="F294" t="s">
        <v>40</v>
      </c>
      <c r="G294" t="s">
        <v>26</v>
      </c>
      <c r="H294" t="s">
        <v>27</v>
      </c>
      <c r="I294">
        <v>1</v>
      </c>
      <c r="J294">
        <v>22000</v>
      </c>
      <c r="K294">
        <v>0.1</v>
      </c>
      <c r="L294">
        <v>5000</v>
      </c>
      <c r="M294" t="s">
        <v>28</v>
      </c>
      <c r="N294">
        <f t="shared" si="16"/>
        <v>19800</v>
      </c>
      <c r="O294">
        <f t="shared" si="17"/>
        <v>14800</v>
      </c>
      <c r="P294">
        <f t="shared" si="18"/>
        <v>4190097.5</v>
      </c>
      <c r="Q294">
        <f t="shared" si="19"/>
        <v>3207047.5</v>
      </c>
    </row>
    <row r="295" spans="1:17">
      <c r="A295" t="s">
        <v>634</v>
      </c>
      <c r="B295" s="1">
        <v>45983</v>
      </c>
      <c r="C295" t="s">
        <v>635</v>
      </c>
      <c r="D295" t="s">
        <v>273</v>
      </c>
      <c r="E295" t="s">
        <v>39</v>
      </c>
      <c r="F295" t="s">
        <v>33</v>
      </c>
      <c r="G295" t="s">
        <v>34</v>
      </c>
      <c r="H295" t="s">
        <v>53</v>
      </c>
      <c r="I295">
        <v>1</v>
      </c>
      <c r="J295">
        <v>950</v>
      </c>
      <c r="K295">
        <v>0.1</v>
      </c>
      <c r="L295">
        <v>300</v>
      </c>
      <c r="M295" t="s">
        <v>28</v>
      </c>
      <c r="N295">
        <f t="shared" si="16"/>
        <v>855</v>
      </c>
      <c r="O295">
        <f t="shared" si="17"/>
        <v>555</v>
      </c>
      <c r="P295">
        <f t="shared" si="18"/>
        <v>4170297.5</v>
      </c>
      <c r="Q295">
        <f t="shared" si="19"/>
        <v>3192247.5</v>
      </c>
    </row>
    <row r="296" spans="1:17">
      <c r="A296" t="s">
        <v>636</v>
      </c>
      <c r="B296" s="1">
        <v>45805</v>
      </c>
      <c r="C296" t="s">
        <v>62</v>
      </c>
      <c r="D296" t="s">
        <v>83</v>
      </c>
      <c r="E296" t="s">
        <v>118</v>
      </c>
      <c r="F296" t="s">
        <v>17</v>
      </c>
      <c r="G296" t="s">
        <v>26</v>
      </c>
      <c r="H296" t="s">
        <v>27</v>
      </c>
      <c r="I296">
        <v>4</v>
      </c>
      <c r="J296">
        <v>22000</v>
      </c>
      <c r="K296">
        <v>0.15</v>
      </c>
      <c r="L296">
        <v>5000</v>
      </c>
      <c r="M296" t="s">
        <v>48</v>
      </c>
      <c r="N296">
        <f t="shared" si="16"/>
        <v>74800</v>
      </c>
      <c r="O296">
        <f t="shared" si="17"/>
        <v>54800</v>
      </c>
      <c r="P296">
        <f t="shared" si="18"/>
        <v>4169442.5</v>
      </c>
      <c r="Q296">
        <f t="shared" si="19"/>
        <v>3191692.5</v>
      </c>
    </row>
    <row r="297" spans="1:17">
      <c r="A297" t="s">
        <v>637</v>
      </c>
      <c r="B297" s="1">
        <v>45779</v>
      </c>
      <c r="C297" t="s">
        <v>288</v>
      </c>
      <c r="D297" t="s">
        <v>638</v>
      </c>
      <c r="E297" t="s">
        <v>24</v>
      </c>
      <c r="F297" t="s">
        <v>40</v>
      </c>
      <c r="G297" t="s">
        <v>34</v>
      </c>
      <c r="H297" t="s">
        <v>56</v>
      </c>
      <c r="I297">
        <v>3</v>
      </c>
      <c r="J297">
        <v>1800</v>
      </c>
      <c r="K297">
        <v>0</v>
      </c>
      <c r="L297">
        <v>650</v>
      </c>
      <c r="M297" t="s">
        <v>48</v>
      </c>
      <c r="N297">
        <f t="shared" si="16"/>
        <v>5400</v>
      </c>
      <c r="O297">
        <f t="shared" si="17"/>
        <v>3450</v>
      </c>
      <c r="P297">
        <f t="shared" si="18"/>
        <v>4094642.5</v>
      </c>
      <c r="Q297">
        <f t="shared" si="19"/>
        <v>3136892.5</v>
      </c>
    </row>
    <row r="298" spans="1:17">
      <c r="A298" t="s">
        <v>639</v>
      </c>
      <c r="B298" s="1">
        <v>45670</v>
      </c>
      <c r="C298" t="s">
        <v>427</v>
      </c>
      <c r="D298" t="s">
        <v>560</v>
      </c>
      <c r="E298" t="s">
        <v>39</v>
      </c>
      <c r="F298" t="s">
        <v>25</v>
      </c>
      <c r="G298" t="s">
        <v>18</v>
      </c>
      <c r="H298" t="s">
        <v>19</v>
      </c>
      <c r="I298">
        <v>5</v>
      </c>
      <c r="J298">
        <v>1200</v>
      </c>
      <c r="K298">
        <v>0.05</v>
      </c>
      <c r="L298">
        <v>350</v>
      </c>
      <c r="M298" t="s">
        <v>28</v>
      </c>
      <c r="N298">
        <f t="shared" si="16"/>
        <v>5700</v>
      </c>
      <c r="O298">
        <f t="shared" si="17"/>
        <v>3950</v>
      </c>
      <c r="P298">
        <f t="shared" si="18"/>
        <v>4089242.5</v>
      </c>
      <c r="Q298">
        <f t="shared" si="19"/>
        <v>3133442.5</v>
      </c>
    </row>
    <row r="299" spans="1:17">
      <c r="A299" t="s">
        <v>640</v>
      </c>
      <c r="B299" s="1">
        <v>45851</v>
      </c>
      <c r="C299" t="s">
        <v>601</v>
      </c>
      <c r="D299" t="s">
        <v>251</v>
      </c>
      <c r="E299" t="s">
        <v>84</v>
      </c>
      <c r="F299" t="s">
        <v>33</v>
      </c>
      <c r="G299" t="s">
        <v>34</v>
      </c>
      <c r="H299" t="s">
        <v>41</v>
      </c>
      <c r="I299">
        <v>1</v>
      </c>
      <c r="J299">
        <v>52000</v>
      </c>
      <c r="K299">
        <v>0</v>
      </c>
      <c r="L299">
        <v>9000</v>
      </c>
      <c r="M299" t="s">
        <v>48</v>
      </c>
      <c r="N299">
        <f t="shared" si="16"/>
        <v>52000</v>
      </c>
      <c r="O299">
        <f t="shared" si="17"/>
        <v>43000</v>
      </c>
      <c r="P299">
        <f t="shared" si="18"/>
        <v>4083542.5</v>
      </c>
      <c r="Q299">
        <f t="shared" si="19"/>
        <v>3129492.5</v>
      </c>
    </row>
    <row r="300" spans="1:17">
      <c r="A300" t="s">
        <v>641</v>
      </c>
      <c r="B300" s="1">
        <v>45770</v>
      </c>
      <c r="C300" t="s">
        <v>494</v>
      </c>
      <c r="D300" t="s">
        <v>456</v>
      </c>
      <c r="E300" t="s">
        <v>118</v>
      </c>
      <c r="F300" t="s">
        <v>25</v>
      </c>
      <c r="G300" t="s">
        <v>26</v>
      </c>
      <c r="H300" t="s">
        <v>92</v>
      </c>
      <c r="I300">
        <v>1</v>
      </c>
      <c r="J300">
        <v>15000</v>
      </c>
      <c r="K300">
        <v>0</v>
      </c>
      <c r="L300">
        <v>3500</v>
      </c>
      <c r="M300" t="s">
        <v>20</v>
      </c>
      <c r="N300">
        <f t="shared" si="16"/>
        <v>15000</v>
      </c>
      <c r="O300">
        <f t="shared" si="17"/>
        <v>11500</v>
      </c>
      <c r="P300">
        <f t="shared" si="18"/>
        <v>4031542.5</v>
      </c>
      <c r="Q300">
        <f t="shared" si="19"/>
        <v>3086492.5</v>
      </c>
    </row>
    <row r="301" spans="1:17">
      <c r="A301" t="s">
        <v>642</v>
      </c>
      <c r="B301" s="1">
        <v>45856</v>
      </c>
      <c r="C301" t="s">
        <v>643</v>
      </c>
      <c r="D301" t="s">
        <v>95</v>
      </c>
      <c r="E301" t="s">
        <v>16</v>
      </c>
      <c r="F301" t="s">
        <v>33</v>
      </c>
      <c r="G301" t="s">
        <v>34</v>
      </c>
      <c r="H301" t="s">
        <v>35</v>
      </c>
      <c r="I301">
        <v>5</v>
      </c>
      <c r="J301">
        <v>18000</v>
      </c>
      <c r="K301">
        <v>0.15</v>
      </c>
      <c r="L301">
        <v>3000</v>
      </c>
      <c r="M301" t="s">
        <v>48</v>
      </c>
      <c r="N301">
        <f t="shared" si="16"/>
        <v>76500</v>
      </c>
      <c r="O301">
        <f t="shared" si="17"/>
        <v>61500</v>
      </c>
      <c r="P301">
        <f t="shared" si="18"/>
        <v>4016542.5</v>
      </c>
      <c r="Q301">
        <f t="shared" si="19"/>
        <v>3074992.5</v>
      </c>
    </row>
    <row r="302" spans="1:17">
      <c r="A302" t="s">
        <v>644</v>
      </c>
      <c r="B302" s="1">
        <v>45851</v>
      </c>
      <c r="C302" t="s">
        <v>645</v>
      </c>
      <c r="D302" t="s">
        <v>646</v>
      </c>
      <c r="E302" t="s">
        <v>16</v>
      </c>
      <c r="F302" t="s">
        <v>17</v>
      </c>
      <c r="G302" t="s">
        <v>34</v>
      </c>
      <c r="H302" t="s">
        <v>106</v>
      </c>
      <c r="I302">
        <v>5</v>
      </c>
      <c r="J302">
        <v>650</v>
      </c>
      <c r="K302">
        <v>0</v>
      </c>
      <c r="L302">
        <v>200</v>
      </c>
      <c r="M302" t="s">
        <v>48</v>
      </c>
      <c r="N302">
        <f t="shared" si="16"/>
        <v>3250</v>
      </c>
      <c r="O302">
        <f t="shared" si="17"/>
        <v>2250</v>
      </c>
      <c r="P302">
        <f t="shared" si="18"/>
        <v>3940042.5</v>
      </c>
      <c r="Q302">
        <f t="shared" si="19"/>
        <v>3013492.5</v>
      </c>
    </row>
    <row r="303" spans="1:17">
      <c r="A303" t="s">
        <v>647</v>
      </c>
      <c r="B303" s="1">
        <v>45941</v>
      </c>
      <c r="C303" t="s">
        <v>94</v>
      </c>
      <c r="D303" t="s">
        <v>392</v>
      </c>
      <c r="E303" t="s">
        <v>32</v>
      </c>
      <c r="F303" t="s">
        <v>17</v>
      </c>
      <c r="G303" t="s">
        <v>26</v>
      </c>
      <c r="H303" t="s">
        <v>448</v>
      </c>
      <c r="I303">
        <v>4</v>
      </c>
      <c r="J303">
        <v>6500</v>
      </c>
      <c r="K303">
        <v>0</v>
      </c>
      <c r="L303">
        <v>1600</v>
      </c>
      <c r="M303" t="s">
        <v>20</v>
      </c>
      <c r="N303">
        <f t="shared" si="16"/>
        <v>26000</v>
      </c>
      <c r="O303">
        <f t="shared" si="17"/>
        <v>19600</v>
      </c>
      <c r="P303">
        <f t="shared" si="18"/>
        <v>3936792.5</v>
      </c>
      <c r="Q303">
        <f t="shared" si="19"/>
        <v>3011242.5</v>
      </c>
    </row>
    <row r="304" spans="1:17">
      <c r="A304" t="s">
        <v>648</v>
      </c>
      <c r="B304" s="1">
        <v>45707</v>
      </c>
      <c r="C304" t="s">
        <v>548</v>
      </c>
      <c r="D304" t="s">
        <v>646</v>
      </c>
      <c r="E304" t="s">
        <v>84</v>
      </c>
      <c r="F304" t="s">
        <v>40</v>
      </c>
      <c r="G304" t="s">
        <v>46</v>
      </c>
      <c r="H304" t="s">
        <v>96</v>
      </c>
      <c r="I304">
        <v>1</v>
      </c>
      <c r="J304">
        <v>3200</v>
      </c>
      <c r="K304">
        <v>0</v>
      </c>
      <c r="L304">
        <v>950</v>
      </c>
      <c r="M304" t="s">
        <v>28</v>
      </c>
      <c r="N304">
        <f t="shared" si="16"/>
        <v>3200</v>
      </c>
      <c r="O304">
        <f t="shared" si="17"/>
        <v>2250</v>
      </c>
      <c r="P304">
        <f t="shared" si="18"/>
        <v>3910792.5</v>
      </c>
      <c r="Q304">
        <f t="shared" si="19"/>
        <v>2991642.5</v>
      </c>
    </row>
    <row r="305" spans="1:17">
      <c r="A305" t="s">
        <v>649</v>
      </c>
      <c r="B305" s="1">
        <v>46019</v>
      </c>
      <c r="C305" t="s">
        <v>213</v>
      </c>
      <c r="D305" t="s">
        <v>650</v>
      </c>
      <c r="E305" t="s">
        <v>16</v>
      </c>
      <c r="F305" t="s">
        <v>40</v>
      </c>
      <c r="G305" t="s">
        <v>34</v>
      </c>
      <c r="H305" t="s">
        <v>41</v>
      </c>
      <c r="I305">
        <v>3</v>
      </c>
      <c r="J305">
        <v>52000</v>
      </c>
      <c r="K305">
        <v>0.15</v>
      </c>
      <c r="L305">
        <v>9000</v>
      </c>
      <c r="M305" t="s">
        <v>28</v>
      </c>
      <c r="N305">
        <f t="shared" si="16"/>
        <v>132600</v>
      </c>
      <c r="O305">
        <f t="shared" si="17"/>
        <v>105600</v>
      </c>
      <c r="P305">
        <f t="shared" si="18"/>
        <v>3907592.5</v>
      </c>
      <c r="Q305">
        <f t="shared" si="19"/>
        <v>2989392.5</v>
      </c>
    </row>
    <row r="306" spans="1:17">
      <c r="A306" t="s">
        <v>651</v>
      </c>
      <c r="B306" s="1">
        <v>45910</v>
      </c>
      <c r="C306" t="s">
        <v>652</v>
      </c>
      <c r="D306" t="s">
        <v>79</v>
      </c>
      <c r="E306" t="s">
        <v>32</v>
      </c>
      <c r="F306" t="s">
        <v>25</v>
      </c>
      <c r="G306" t="s">
        <v>26</v>
      </c>
      <c r="H306" t="s">
        <v>159</v>
      </c>
      <c r="I306">
        <v>1</v>
      </c>
      <c r="J306">
        <v>8500</v>
      </c>
      <c r="K306">
        <v>0</v>
      </c>
      <c r="L306">
        <v>2100</v>
      </c>
      <c r="M306" t="s">
        <v>20</v>
      </c>
      <c r="N306">
        <f t="shared" si="16"/>
        <v>8500</v>
      </c>
      <c r="O306">
        <f t="shared" si="17"/>
        <v>6400</v>
      </c>
      <c r="P306">
        <f t="shared" si="18"/>
        <v>3774992.5</v>
      </c>
      <c r="Q306">
        <f t="shared" si="19"/>
        <v>2883792.5</v>
      </c>
    </row>
    <row r="307" spans="1:17">
      <c r="A307" t="s">
        <v>653</v>
      </c>
      <c r="B307" s="1">
        <v>45761</v>
      </c>
      <c r="C307" t="s">
        <v>654</v>
      </c>
      <c r="D307" t="s">
        <v>254</v>
      </c>
      <c r="E307" t="s">
        <v>118</v>
      </c>
      <c r="F307" t="s">
        <v>40</v>
      </c>
      <c r="G307" t="s">
        <v>46</v>
      </c>
      <c r="H307" t="s">
        <v>80</v>
      </c>
      <c r="I307">
        <v>5</v>
      </c>
      <c r="J307">
        <v>1900</v>
      </c>
      <c r="K307">
        <v>0</v>
      </c>
      <c r="L307">
        <v>600</v>
      </c>
      <c r="M307" t="s">
        <v>28</v>
      </c>
      <c r="N307">
        <f t="shared" si="16"/>
        <v>9500</v>
      </c>
      <c r="O307">
        <f t="shared" si="17"/>
        <v>6500</v>
      </c>
      <c r="P307">
        <f t="shared" si="18"/>
        <v>3766492.5</v>
      </c>
      <c r="Q307">
        <f t="shared" si="19"/>
        <v>2877392.5</v>
      </c>
    </row>
    <row r="308" spans="1:17">
      <c r="A308" t="s">
        <v>655</v>
      </c>
      <c r="B308" s="1">
        <v>45905</v>
      </c>
      <c r="C308" t="s">
        <v>656</v>
      </c>
      <c r="D308" t="s">
        <v>657</v>
      </c>
      <c r="E308" t="s">
        <v>84</v>
      </c>
      <c r="F308" t="s">
        <v>33</v>
      </c>
      <c r="G308" t="s">
        <v>34</v>
      </c>
      <c r="H308" t="s">
        <v>56</v>
      </c>
      <c r="I308">
        <v>4</v>
      </c>
      <c r="J308">
        <v>1800</v>
      </c>
      <c r="K308">
        <v>0</v>
      </c>
      <c r="L308">
        <v>650</v>
      </c>
      <c r="M308" t="s">
        <v>28</v>
      </c>
      <c r="N308">
        <f t="shared" si="16"/>
        <v>7200</v>
      </c>
      <c r="O308">
        <f t="shared" si="17"/>
        <v>4600</v>
      </c>
      <c r="P308">
        <f t="shared" si="18"/>
        <v>3756992.5</v>
      </c>
      <c r="Q308">
        <f t="shared" si="19"/>
        <v>2870892.5</v>
      </c>
    </row>
    <row r="309" spans="1:17">
      <c r="A309" t="s">
        <v>658</v>
      </c>
      <c r="B309" s="1">
        <v>45957</v>
      </c>
      <c r="C309" t="s">
        <v>375</v>
      </c>
      <c r="D309" t="s">
        <v>646</v>
      </c>
      <c r="E309" t="s">
        <v>84</v>
      </c>
      <c r="F309" t="s">
        <v>25</v>
      </c>
      <c r="G309" t="s">
        <v>26</v>
      </c>
      <c r="H309" t="s">
        <v>92</v>
      </c>
      <c r="I309">
        <v>2</v>
      </c>
      <c r="J309">
        <v>15000</v>
      </c>
      <c r="K309">
        <v>0.05</v>
      </c>
      <c r="L309">
        <v>3500</v>
      </c>
      <c r="M309" t="s">
        <v>28</v>
      </c>
      <c r="N309">
        <f t="shared" si="16"/>
        <v>28500</v>
      </c>
      <c r="O309">
        <f t="shared" si="17"/>
        <v>21500</v>
      </c>
      <c r="P309">
        <f t="shared" si="18"/>
        <v>3749792.5</v>
      </c>
      <c r="Q309">
        <f t="shared" si="19"/>
        <v>2866292.5</v>
      </c>
    </row>
    <row r="310" spans="1:17">
      <c r="A310" t="s">
        <v>659</v>
      </c>
      <c r="B310" s="1">
        <v>45884</v>
      </c>
      <c r="C310" t="s">
        <v>624</v>
      </c>
      <c r="D310" t="s">
        <v>343</v>
      </c>
      <c r="E310" t="s">
        <v>118</v>
      </c>
      <c r="F310" t="s">
        <v>40</v>
      </c>
      <c r="G310" t="s">
        <v>34</v>
      </c>
      <c r="H310" t="s">
        <v>53</v>
      </c>
      <c r="I310">
        <v>4</v>
      </c>
      <c r="J310">
        <v>950</v>
      </c>
      <c r="K310">
        <v>0.05</v>
      </c>
      <c r="L310">
        <v>300</v>
      </c>
      <c r="M310" t="s">
        <v>28</v>
      </c>
      <c r="N310">
        <f t="shared" si="16"/>
        <v>3610</v>
      </c>
      <c r="O310">
        <f t="shared" si="17"/>
        <v>2410</v>
      </c>
      <c r="P310">
        <f t="shared" si="18"/>
        <v>3721292.5</v>
      </c>
      <c r="Q310">
        <f t="shared" si="19"/>
        <v>2844792.5</v>
      </c>
    </row>
    <row r="311" spans="1:17">
      <c r="A311" t="s">
        <v>660</v>
      </c>
      <c r="B311" s="1">
        <v>46006</v>
      </c>
      <c r="C311" t="s">
        <v>654</v>
      </c>
      <c r="D311" t="s">
        <v>504</v>
      </c>
      <c r="E311" t="s">
        <v>52</v>
      </c>
      <c r="F311" t="s">
        <v>17</v>
      </c>
      <c r="G311" t="s">
        <v>18</v>
      </c>
      <c r="H311" t="s">
        <v>136</v>
      </c>
      <c r="I311">
        <v>1</v>
      </c>
      <c r="J311">
        <v>2800</v>
      </c>
      <c r="K311">
        <v>0.05</v>
      </c>
      <c r="L311">
        <v>750</v>
      </c>
      <c r="M311" t="s">
        <v>28</v>
      </c>
      <c r="N311">
        <f t="shared" si="16"/>
        <v>2660</v>
      </c>
      <c r="O311">
        <f t="shared" si="17"/>
        <v>1910</v>
      </c>
      <c r="P311">
        <f t="shared" si="18"/>
        <v>3717682.5</v>
      </c>
      <c r="Q311">
        <f t="shared" si="19"/>
        <v>2842382.5</v>
      </c>
    </row>
    <row r="312" spans="1:17">
      <c r="A312" t="s">
        <v>661</v>
      </c>
      <c r="B312" s="1">
        <v>45735</v>
      </c>
      <c r="C312" t="s">
        <v>306</v>
      </c>
      <c r="D312" t="s">
        <v>410</v>
      </c>
      <c r="E312" t="s">
        <v>16</v>
      </c>
      <c r="F312" t="s">
        <v>40</v>
      </c>
      <c r="G312" t="s">
        <v>34</v>
      </c>
      <c r="H312" t="s">
        <v>53</v>
      </c>
      <c r="I312">
        <v>5</v>
      </c>
      <c r="J312">
        <v>950</v>
      </c>
      <c r="K312">
        <v>0</v>
      </c>
      <c r="L312">
        <v>300</v>
      </c>
      <c r="M312" t="s">
        <v>28</v>
      </c>
      <c r="N312">
        <f t="shared" si="16"/>
        <v>4750</v>
      </c>
      <c r="O312">
        <f t="shared" si="17"/>
        <v>3250</v>
      </c>
      <c r="P312">
        <f t="shared" si="18"/>
        <v>3715022.5</v>
      </c>
      <c r="Q312">
        <f t="shared" si="19"/>
        <v>2840472.5</v>
      </c>
    </row>
    <row r="313" spans="1:17">
      <c r="A313" t="s">
        <v>662</v>
      </c>
      <c r="B313" s="1">
        <v>45842</v>
      </c>
      <c r="C313" t="s">
        <v>482</v>
      </c>
      <c r="D313" t="s">
        <v>608</v>
      </c>
      <c r="E313" t="s">
        <v>32</v>
      </c>
      <c r="F313" t="s">
        <v>40</v>
      </c>
      <c r="G313" t="s">
        <v>26</v>
      </c>
      <c r="H313" t="s">
        <v>159</v>
      </c>
      <c r="I313">
        <v>2</v>
      </c>
      <c r="J313">
        <v>8500</v>
      </c>
      <c r="K313">
        <v>0</v>
      </c>
      <c r="L313">
        <v>2100</v>
      </c>
      <c r="M313" t="s">
        <v>20</v>
      </c>
      <c r="N313">
        <f t="shared" si="16"/>
        <v>17000</v>
      </c>
      <c r="O313">
        <f t="shared" si="17"/>
        <v>12800</v>
      </c>
      <c r="P313">
        <f t="shared" si="18"/>
        <v>3710272.5</v>
      </c>
      <c r="Q313">
        <f t="shared" si="19"/>
        <v>2837222.5</v>
      </c>
    </row>
    <row r="314" spans="1:17">
      <c r="A314" t="s">
        <v>663</v>
      </c>
      <c r="B314" s="1">
        <v>45892</v>
      </c>
      <c r="C314" t="s">
        <v>309</v>
      </c>
      <c r="D314" t="s">
        <v>554</v>
      </c>
      <c r="E314" t="s">
        <v>45</v>
      </c>
      <c r="F314" t="s">
        <v>40</v>
      </c>
      <c r="G314" t="s">
        <v>26</v>
      </c>
      <c r="H314" t="s">
        <v>27</v>
      </c>
      <c r="I314">
        <v>2</v>
      </c>
      <c r="J314">
        <v>22000</v>
      </c>
      <c r="K314">
        <v>0.15</v>
      </c>
      <c r="L314">
        <v>5000</v>
      </c>
      <c r="M314" t="s">
        <v>28</v>
      </c>
      <c r="N314">
        <f t="shared" si="16"/>
        <v>37400</v>
      </c>
      <c r="O314">
        <f t="shared" si="17"/>
        <v>27400</v>
      </c>
      <c r="P314">
        <f t="shared" si="18"/>
        <v>3693272.5</v>
      </c>
      <c r="Q314">
        <f t="shared" si="19"/>
        <v>2824422.5</v>
      </c>
    </row>
    <row r="315" spans="1:17">
      <c r="A315" t="s">
        <v>664</v>
      </c>
      <c r="B315" s="1">
        <v>45787</v>
      </c>
      <c r="C315" t="s">
        <v>665</v>
      </c>
      <c r="D315" t="s">
        <v>666</v>
      </c>
      <c r="E315" t="s">
        <v>52</v>
      </c>
      <c r="F315" t="s">
        <v>25</v>
      </c>
      <c r="G315" t="s">
        <v>46</v>
      </c>
      <c r="H315" t="s">
        <v>80</v>
      </c>
      <c r="I315">
        <v>4</v>
      </c>
      <c r="J315">
        <v>1900</v>
      </c>
      <c r="K315">
        <v>0</v>
      </c>
      <c r="L315">
        <v>600</v>
      </c>
      <c r="M315" t="s">
        <v>48</v>
      </c>
      <c r="N315">
        <f t="shared" si="16"/>
        <v>7600</v>
      </c>
      <c r="O315">
        <f t="shared" si="17"/>
        <v>5200</v>
      </c>
      <c r="P315">
        <f t="shared" si="18"/>
        <v>3655872.5</v>
      </c>
      <c r="Q315">
        <f t="shared" si="19"/>
        <v>2797022.5</v>
      </c>
    </row>
    <row r="316" spans="1:17">
      <c r="A316" t="s">
        <v>667</v>
      </c>
      <c r="B316" s="1">
        <v>45980</v>
      </c>
      <c r="C316" t="s">
        <v>656</v>
      </c>
      <c r="D316" t="s">
        <v>155</v>
      </c>
      <c r="E316" t="s">
        <v>118</v>
      </c>
      <c r="F316" t="s">
        <v>40</v>
      </c>
      <c r="G316" t="s">
        <v>34</v>
      </c>
      <c r="H316" t="s">
        <v>35</v>
      </c>
      <c r="I316">
        <v>2</v>
      </c>
      <c r="J316">
        <v>18000</v>
      </c>
      <c r="K316">
        <v>0.1</v>
      </c>
      <c r="L316">
        <v>3000</v>
      </c>
      <c r="M316" t="s">
        <v>20</v>
      </c>
      <c r="N316">
        <f t="shared" si="16"/>
        <v>32400</v>
      </c>
      <c r="O316">
        <f t="shared" si="17"/>
        <v>26400</v>
      </c>
      <c r="P316">
        <f t="shared" si="18"/>
        <v>3648272.5</v>
      </c>
      <c r="Q316">
        <f t="shared" si="19"/>
        <v>2791822.5</v>
      </c>
    </row>
    <row r="317" spans="1:17">
      <c r="A317" t="s">
        <v>668</v>
      </c>
      <c r="B317" s="1">
        <v>45726</v>
      </c>
      <c r="C317" t="s">
        <v>50</v>
      </c>
      <c r="D317" t="s">
        <v>585</v>
      </c>
      <c r="E317" t="s">
        <v>24</v>
      </c>
      <c r="F317" t="s">
        <v>40</v>
      </c>
      <c r="G317" t="s">
        <v>34</v>
      </c>
      <c r="H317" t="s">
        <v>35</v>
      </c>
      <c r="I317">
        <v>4</v>
      </c>
      <c r="J317">
        <v>18000</v>
      </c>
      <c r="K317">
        <v>0</v>
      </c>
      <c r="L317">
        <v>3000</v>
      </c>
      <c r="M317" t="s">
        <v>48</v>
      </c>
      <c r="N317">
        <f t="shared" si="16"/>
        <v>72000</v>
      </c>
      <c r="O317">
        <f t="shared" si="17"/>
        <v>60000</v>
      </c>
      <c r="P317">
        <f t="shared" si="18"/>
        <v>3615872.5</v>
      </c>
      <c r="Q317">
        <f t="shared" si="19"/>
        <v>2765422.5</v>
      </c>
    </row>
    <row r="318" spans="1:17">
      <c r="A318" t="s">
        <v>669</v>
      </c>
      <c r="B318" s="1">
        <v>45746</v>
      </c>
      <c r="C318" t="s">
        <v>318</v>
      </c>
      <c r="D318" t="s">
        <v>59</v>
      </c>
      <c r="E318" t="s">
        <v>52</v>
      </c>
      <c r="F318" t="s">
        <v>25</v>
      </c>
      <c r="G318" t="s">
        <v>46</v>
      </c>
      <c r="H318" t="s">
        <v>96</v>
      </c>
      <c r="I318">
        <v>4</v>
      </c>
      <c r="J318">
        <v>3200</v>
      </c>
      <c r="K318">
        <v>0</v>
      </c>
      <c r="L318">
        <v>950</v>
      </c>
      <c r="M318" t="s">
        <v>20</v>
      </c>
      <c r="N318">
        <f t="shared" si="16"/>
        <v>12800</v>
      </c>
      <c r="O318">
        <f t="shared" si="17"/>
        <v>9000</v>
      </c>
      <c r="P318">
        <f t="shared" si="18"/>
        <v>3543872.5</v>
      </c>
      <c r="Q318">
        <f t="shared" si="19"/>
        <v>2705422.5</v>
      </c>
    </row>
    <row r="319" spans="1:17">
      <c r="A319" t="s">
        <v>670</v>
      </c>
      <c r="B319" s="1">
        <v>46012</v>
      </c>
      <c r="C319" t="s">
        <v>671</v>
      </c>
      <c r="D319" t="s">
        <v>129</v>
      </c>
      <c r="E319" t="s">
        <v>52</v>
      </c>
      <c r="F319" t="s">
        <v>40</v>
      </c>
      <c r="G319" t="s">
        <v>18</v>
      </c>
      <c r="H319" t="s">
        <v>70</v>
      </c>
      <c r="I319">
        <v>2</v>
      </c>
      <c r="J319">
        <v>2400</v>
      </c>
      <c r="K319">
        <v>0.1</v>
      </c>
      <c r="L319">
        <v>650</v>
      </c>
      <c r="M319" t="s">
        <v>48</v>
      </c>
      <c r="N319">
        <f t="shared" si="16"/>
        <v>4320</v>
      </c>
      <c r="O319">
        <f t="shared" si="17"/>
        <v>3020</v>
      </c>
      <c r="P319">
        <f t="shared" si="18"/>
        <v>3531072.5</v>
      </c>
      <c r="Q319">
        <f t="shared" si="19"/>
        <v>2696422.5</v>
      </c>
    </row>
    <row r="320" spans="1:17">
      <c r="A320" t="s">
        <v>672</v>
      </c>
      <c r="B320" s="1">
        <v>45792</v>
      </c>
      <c r="C320" t="s">
        <v>125</v>
      </c>
      <c r="D320" t="s">
        <v>593</v>
      </c>
      <c r="E320" t="s">
        <v>16</v>
      </c>
      <c r="F320" t="s">
        <v>40</v>
      </c>
      <c r="G320" t="s">
        <v>26</v>
      </c>
      <c r="H320" t="s">
        <v>27</v>
      </c>
      <c r="I320">
        <v>2</v>
      </c>
      <c r="J320">
        <v>22000</v>
      </c>
      <c r="K320">
        <v>0</v>
      </c>
      <c r="L320">
        <v>5000</v>
      </c>
      <c r="M320" t="s">
        <v>48</v>
      </c>
      <c r="N320">
        <f t="shared" si="16"/>
        <v>44000</v>
      </c>
      <c r="O320">
        <f t="shared" si="17"/>
        <v>34000</v>
      </c>
      <c r="P320">
        <f t="shared" si="18"/>
        <v>3526752.5</v>
      </c>
      <c r="Q320">
        <f t="shared" si="19"/>
        <v>2693402.5</v>
      </c>
    </row>
    <row r="321" spans="1:17">
      <c r="A321" t="s">
        <v>673</v>
      </c>
      <c r="B321" s="1">
        <v>45800</v>
      </c>
      <c r="C321" t="s">
        <v>231</v>
      </c>
      <c r="D321" t="s">
        <v>248</v>
      </c>
      <c r="E321" t="s">
        <v>118</v>
      </c>
      <c r="F321" t="s">
        <v>33</v>
      </c>
      <c r="G321" t="s">
        <v>18</v>
      </c>
      <c r="H321" t="s">
        <v>19</v>
      </c>
      <c r="I321">
        <v>2</v>
      </c>
      <c r="J321">
        <v>1200</v>
      </c>
      <c r="K321">
        <v>0.15</v>
      </c>
      <c r="L321">
        <v>350</v>
      </c>
      <c r="M321" t="s">
        <v>20</v>
      </c>
      <c r="N321">
        <f t="shared" si="16"/>
        <v>2040</v>
      </c>
      <c r="O321">
        <f t="shared" si="17"/>
        <v>1340</v>
      </c>
      <c r="P321">
        <f t="shared" si="18"/>
        <v>3482752.5</v>
      </c>
      <c r="Q321">
        <f t="shared" si="19"/>
        <v>2659402.5</v>
      </c>
    </row>
    <row r="322" spans="1:17">
      <c r="A322" t="s">
        <v>674</v>
      </c>
      <c r="B322" s="1">
        <v>45916</v>
      </c>
      <c r="C322" t="s">
        <v>584</v>
      </c>
      <c r="D322" t="s">
        <v>506</v>
      </c>
      <c r="E322" t="s">
        <v>45</v>
      </c>
      <c r="F322" t="s">
        <v>33</v>
      </c>
      <c r="G322" t="s">
        <v>26</v>
      </c>
      <c r="H322" t="s">
        <v>153</v>
      </c>
      <c r="I322">
        <v>4</v>
      </c>
      <c r="J322">
        <v>4200</v>
      </c>
      <c r="K322">
        <v>0</v>
      </c>
      <c r="L322">
        <v>1000</v>
      </c>
      <c r="M322" t="s">
        <v>20</v>
      </c>
      <c r="N322">
        <f t="shared" ref="N322:N385" si="20">I322*J322*(1-K322)</f>
        <v>16800</v>
      </c>
      <c r="O322">
        <f t="shared" ref="O322:O385" si="21">N322-(L322*I322)</f>
        <v>12800</v>
      </c>
      <c r="P322">
        <f t="shared" ref="P322:P385" si="22">SUM(N322:N821)</f>
        <v>3480712.5</v>
      </c>
      <c r="Q322">
        <f t="shared" ref="Q322:Q385" si="23">SUM(O322:O821)</f>
        <v>2658062.5</v>
      </c>
    </row>
    <row r="323" spans="1:17">
      <c r="A323" t="s">
        <v>675</v>
      </c>
      <c r="B323" s="1">
        <v>45913</v>
      </c>
      <c r="C323" t="s">
        <v>624</v>
      </c>
      <c r="D323" t="s">
        <v>139</v>
      </c>
      <c r="E323" t="s">
        <v>45</v>
      </c>
      <c r="F323" t="s">
        <v>17</v>
      </c>
      <c r="G323" t="s">
        <v>46</v>
      </c>
      <c r="H323" t="s">
        <v>80</v>
      </c>
      <c r="I323">
        <v>4</v>
      </c>
      <c r="J323">
        <v>1900</v>
      </c>
      <c r="K323">
        <v>0</v>
      </c>
      <c r="L323">
        <v>600</v>
      </c>
      <c r="M323" t="s">
        <v>48</v>
      </c>
      <c r="N323">
        <f t="shared" si="20"/>
        <v>7600</v>
      </c>
      <c r="O323">
        <f t="shared" si="21"/>
        <v>5200</v>
      </c>
      <c r="P323">
        <f t="shared" si="22"/>
        <v>3463912.5</v>
      </c>
      <c r="Q323">
        <f t="shared" si="23"/>
        <v>2645262.5</v>
      </c>
    </row>
    <row r="324" spans="1:17">
      <c r="A324" t="s">
        <v>676</v>
      </c>
      <c r="B324" s="1">
        <v>45948</v>
      </c>
      <c r="C324" t="s">
        <v>280</v>
      </c>
      <c r="D324" t="s">
        <v>616</v>
      </c>
      <c r="E324" t="s">
        <v>24</v>
      </c>
      <c r="F324" t="s">
        <v>33</v>
      </c>
      <c r="G324" t="s">
        <v>18</v>
      </c>
      <c r="H324" t="s">
        <v>85</v>
      </c>
      <c r="I324">
        <v>5</v>
      </c>
      <c r="J324">
        <v>350</v>
      </c>
      <c r="K324">
        <v>0.1</v>
      </c>
      <c r="L324">
        <v>100</v>
      </c>
      <c r="M324" t="s">
        <v>20</v>
      </c>
      <c r="N324">
        <f t="shared" si="20"/>
        <v>1575</v>
      </c>
      <c r="O324">
        <f t="shared" si="21"/>
        <v>1075</v>
      </c>
      <c r="P324">
        <f t="shared" si="22"/>
        <v>3456312.5</v>
      </c>
      <c r="Q324">
        <f t="shared" si="23"/>
        <v>2640062.5</v>
      </c>
    </row>
    <row r="325" spans="1:17">
      <c r="A325" t="s">
        <v>677</v>
      </c>
      <c r="B325" s="1">
        <v>45734</v>
      </c>
      <c r="C325" t="s">
        <v>111</v>
      </c>
      <c r="D325" t="s">
        <v>678</v>
      </c>
      <c r="E325" t="s">
        <v>52</v>
      </c>
      <c r="F325" t="s">
        <v>17</v>
      </c>
      <c r="G325" t="s">
        <v>34</v>
      </c>
      <c r="H325" t="s">
        <v>35</v>
      </c>
      <c r="I325">
        <v>1</v>
      </c>
      <c r="J325">
        <v>18000</v>
      </c>
      <c r="K325">
        <v>0.15</v>
      </c>
      <c r="L325">
        <v>3000</v>
      </c>
      <c r="M325" t="s">
        <v>48</v>
      </c>
      <c r="N325">
        <f t="shared" si="20"/>
        <v>15300</v>
      </c>
      <c r="O325">
        <f t="shared" si="21"/>
        <v>12300</v>
      </c>
      <c r="P325">
        <f t="shared" si="22"/>
        <v>3454737.5</v>
      </c>
      <c r="Q325">
        <f t="shared" si="23"/>
        <v>2638987.5</v>
      </c>
    </row>
    <row r="326" spans="1:17">
      <c r="A326" t="s">
        <v>679</v>
      </c>
      <c r="B326" s="1">
        <v>45923</v>
      </c>
      <c r="C326" t="s">
        <v>455</v>
      </c>
      <c r="D326" t="s">
        <v>66</v>
      </c>
      <c r="E326" t="s">
        <v>24</v>
      </c>
      <c r="F326" t="s">
        <v>17</v>
      </c>
      <c r="G326" t="s">
        <v>26</v>
      </c>
      <c r="H326" t="s">
        <v>159</v>
      </c>
      <c r="I326">
        <v>2</v>
      </c>
      <c r="J326">
        <v>8500</v>
      </c>
      <c r="K326">
        <v>0</v>
      </c>
      <c r="L326">
        <v>2100</v>
      </c>
      <c r="M326" t="s">
        <v>20</v>
      </c>
      <c r="N326">
        <f t="shared" si="20"/>
        <v>17000</v>
      </c>
      <c r="O326">
        <f t="shared" si="21"/>
        <v>12800</v>
      </c>
      <c r="P326">
        <f t="shared" si="22"/>
        <v>3439437.5</v>
      </c>
      <c r="Q326">
        <f t="shared" si="23"/>
        <v>2626687.5</v>
      </c>
    </row>
    <row r="327" spans="1:17">
      <c r="A327" t="s">
        <v>680</v>
      </c>
      <c r="B327" s="1">
        <v>45853</v>
      </c>
      <c r="C327" t="s">
        <v>576</v>
      </c>
      <c r="D327" t="s">
        <v>185</v>
      </c>
      <c r="E327" t="s">
        <v>84</v>
      </c>
      <c r="F327" t="s">
        <v>40</v>
      </c>
      <c r="G327" t="s">
        <v>18</v>
      </c>
      <c r="H327" t="s">
        <v>70</v>
      </c>
      <c r="I327">
        <v>1</v>
      </c>
      <c r="J327">
        <v>2400</v>
      </c>
      <c r="K327">
        <v>0</v>
      </c>
      <c r="L327">
        <v>650</v>
      </c>
      <c r="M327" t="s">
        <v>20</v>
      </c>
      <c r="N327">
        <f t="shared" si="20"/>
        <v>2400</v>
      </c>
      <c r="O327">
        <f t="shared" si="21"/>
        <v>1750</v>
      </c>
      <c r="P327">
        <f t="shared" si="22"/>
        <v>3422437.5</v>
      </c>
      <c r="Q327">
        <f t="shared" si="23"/>
        <v>2613887.5</v>
      </c>
    </row>
    <row r="328" spans="1:17">
      <c r="A328" t="s">
        <v>681</v>
      </c>
      <c r="B328" s="1">
        <v>45837</v>
      </c>
      <c r="C328" t="s">
        <v>654</v>
      </c>
      <c r="D328" t="s">
        <v>353</v>
      </c>
      <c r="E328" t="s">
        <v>45</v>
      </c>
      <c r="F328" t="s">
        <v>40</v>
      </c>
      <c r="G328" t="s">
        <v>26</v>
      </c>
      <c r="H328" t="s">
        <v>448</v>
      </c>
      <c r="I328">
        <v>2</v>
      </c>
      <c r="J328">
        <v>6500</v>
      </c>
      <c r="K328">
        <v>0</v>
      </c>
      <c r="L328">
        <v>1600</v>
      </c>
      <c r="M328" t="s">
        <v>48</v>
      </c>
      <c r="N328">
        <f t="shared" si="20"/>
        <v>13000</v>
      </c>
      <c r="O328">
        <f t="shared" si="21"/>
        <v>9800</v>
      </c>
      <c r="P328">
        <f t="shared" si="22"/>
        <v>3420037.5</v>
      </c>
      <c r="Q328">
        <f t="shared" si="23"/>
        <v>2612137.5</v>
      </c>
    </row>
    <row r="329" spans="1:17">
      <c r="A329" t="s">
        <v>682</v>
      </c>
      <c r="B329" s="1">
        <v>45929</v>
      </c>
      <c r="C329" t="s">
        <v>503</v>
      </c>
      <c r="D329" t="s">
        <v>536</v>
      </c>
      <c r="E329" t="s">
        <v>24</v>
      </c>
      <c r="F329" t="s">
        <v>40</v>
      </c>
      <c r="G329" t="s">
        <v>26</v>
      </c>
      <c r="H329" t="s">
        <v>27</v>
      </c>
      <c r="I329">
        <v>4</v>
      </c>
      <c r="J329">
        <v>22000</v>
      </c>
      <c r="K329">
        <v>0.1</v>
      </c>
      <c r="L329">
        <v>5000</v>
      </c>
      <c r="M329" t="s">
        <v>20</v>
      </c>
      <c r="N329">
        <f t="shared" si="20"/>
        <v>79200</v>
      </c>
      <c r="O329">
        <f t="shared" si="21"/>
        <v>59200</v>
      </c>
      <c r="P329">
        <f t="shared" si="22"/>
        <v>3407037.5</v>
      </c>
      <c r="Q329">
        <f t="shared" si="23"/>
        <v>2602337.5</v>
      </c>
    </row>
    <row r="330" spans="1:17">
      <c r="A330" t="s">
        <v>683</v>
      </c>
      <c r="B330" s="1">
        <v>45794</v>
      </c>
      <c r="C330" t="s">
        <v>461</v>
      </c>
      <c r="D330" t="s">
        <v>205</v>
      </c>
      <c r="E330" t="s">
        <v>24</v>
      </c>
      <c r="F330" t="s">
        <v>25</v>
      </c>
      <c r="G330" t="s">
        <v>18</v>
      </c>
      <c r="H330" t="s">
        <v>136</v>
      </c>
      <c r="I330">
        <v>1</v>
      </c>
      <c r="J330">
        <v>2800</v>
      </c>
      <c r="K330">
        <v>0.1</v>
      </c>
      <c r="L330">
        <v>750</v>
      </c>
      <c r="M330" t="s">
        <v>48</v>
      </c>
      <c r="N330">
        <f t="shared" si="20"/>
        <v>2520</v>
      </c>
      <c r="O330">
        <f t="shared" si="21"/>
        <v>1770</v>
      </c>
      <c r="P330">
        <f t="shared" si="22"/>
        <v>3327837.5</v>
      </c>
      <c r="Q330">
        <f t="shared" si="23"/>
        <v>2543137.5</v>
      </c>
    </row>
    <row r="331" spans="1:17">
      <c r="A331" t="s">
        <v>684</v>
      </c>
      <c r="B331" s="1">
        <v>45837</v>
      </c>
      <c r="C331" t="s">
        <v>157</v>
      </c>
      <c r="D331" t="s">
        <v>281</v>
      </c>
      <c r="E331" t="s">
        <v>118</v>
      </c>
      <c r="F331" t="s">
        <v>40</v>
      </c>
      <c r="G331" t="s">
        <v>34</v>
      </c>
      <c r="H331" t="s">
        <v>53</v>
      </c>
      <c r="I331">
        <v>2</v>
      </c>
      <c r="J331">
        <v>950</v>
      </c>
      <c r="K331">
        <v>0</v>
      </c>
      <c r="L331">
        <v>300</v>
      </c>
      <c r="M331" t="s">
        <v>20</v>
      </c>
      <c r="N331">
        <f t="shared" si="20"/>
        <v>1900</v>
      </c>
      <c r="O331">
        <f t="shared" si="21"/>
        <v>1300</v>
      </c>
      <c r="P331">
        <f t="shared" si="22"/>
        <v>3325317.5</v>
      </c>
      <c r="Q331">
        <f t="shared" si="23"/>
        <v>2541367.5</v>
      </c>
    </row>
    <row r="332" spans="1:17">
      <c r="A332" t="s">
        <v>685</v>
      </c>
      <c r="B332" s="1">
        <v>45760</v>
      </c>
      <c r="C332" t="s">
        <v>250</v>
      </c>
      <c r="D332" t="s">
        <v>290</v>
      </c>
      <c r="E332" t="s">
        <v>16</v>
      </c>
      <c r="F332" t="s">
        <v>40</v>
      </c>
      <c r="G332" t="s">
        <v>46</v>
      </c>
      <c r="H332" t="s">
        <v>340</v>
      </c>
      <c r="I332">
        <v>3</v>
      </c>
      <c r="J332">
        <v>1400</v>
      </c>
      <c r="K332">
        <v>0</v>
      </c>
      <c r="L332">
        <v>450</v>
      </c>
      <c r="M332" t="s">
        <v>20</v>
      </c>
      <c r="N332">
        <f t="shared" si="20"/>
        <v>4200</v>
      </c>
      <c r="O332">
        <f t="shared" si="21"/>
        <v>2850</v>
      </c>
      <c r="P332">
        <f t="shared" si="22"/>
        <v>3323417.5</v>
      </c>
      <c r="Q332">
        <f t="shared" si="23"/>
        <v>2540067.5</v>
      </c>
    </row>
    <row r="333" spans="1:17">
      <c r="A333" t="s">
        <v>686</v>
      </c>
      <c r="B333" s="1">
        <v>45734</v>
      </c>
      <c r="C333" t="s">
        <v>320</v>
      </c>
      <c r="D333" t="s">
        <v>79</v>
      </c>
      <c r="E333" t="s">
        <v>45</v>
      </c>
      <c r="F333" t="s">
        <v>33</v>
      </c>
      <c r="G333" t="s">
        <v>46</v>
      </c>
      <c r="H333" t="s">
        <v>96</v>
      </c>
      <c r="I333">
        <v>5</v>
      </c>
      <c r="J333">
        <v>3200</v>
      </c>
      <c r="K333">
        <v>0.1</v>
      </c>
      <c r="L333">
        <v>950</v>
      </c>
      <c r="M333" t="s">
        <v>28</v>
      </c>
      <c r="N333">
        <f t="shared" si="20"/>
        <v>14400</v>
      </c>
      <c r="O333">
        <f t="shared" si="21"/>
        <v>9650</v>
      </c>
      <c r="P333">
        <f t="shared" si="22"/>
        <v>3319217.5</v>
      </c>
      <c r="Q333">
        <f t="shared" si="23"/>
        <v>2537217.5</v>
      </c>
    </row>
    <row r="334" spans="1:17">
      <c r="A334" t="s">
        <v>687</v>
      </c>
      <c r="B334" s="1">
        <v>45814</v>
      </c>
      <c r="C334" t="s">
        <v>278</v>
      </c>
      <c r="D334" t="s">
        <v>99</v>
      </c>
      <c r="E334" t="s">
        <v>84</v>
      </c>
      <c r="F334" t="s">
        <v>17</v>
      </c>
      <c r="G334" t="s">
        <v>26</v>
      </c>
      <c r="H334" t="s">
        <v>159</v>
      </c>
      <c r="I334">
        <v>5</v>
      </c>
      <c r="J334">
        <v>8500</v>
      </c>
      <c r="K334">
        <v>0.1</v>
      </c>
      <c r="L334">
        <v>2100</v>
      </c>
      <c r="M334" t="s">
        <v>48</v>
      </c>
      <c r="N334">
        <f t="shared" si="20"/>
        <v>38250</v>
      </c>
      <c r="O334">
        <f t="shared" si="21"/>
        <v>27750</v>
      </c>
      <c r="P334">
        <f t="shared" si="22"/>
        <v>3304817.5</v>
      </c>
      <c r="Q334">
        <f t="shared" si="23"/>
        <v>2527567.5</v>
      </c>
    </row>
    <row r="335" spans="1:17">
      <c r="A335" t="s">
        <v>688</v>
      </c>
      <c r="B335" s="1">
        <v>45959</v>
      </c>
      <c r="C335" t="s">
        <v>210</v>
      </c>
      <c r="D335" t="s">
        <v>115</v>
      </c>
      <c r="E335" t="s">
        <v>16</v>
      </c>
      <c r="F335" t="s">
        <v>40</v>
      </c>
      <c r="G335" t="s">
        <v>26</v>
      </c>
      <c r="H335" t="s">
        <v>153</v>
      </c>
      <c r="I335">
        <v>5</v>
      </c>
      <c r="J335">
        <v>4200</v>
      </c>
      <c r="K335">
        <v>0.1</v>
      </c>
      <c r="L335">
        <v>1000</v>
      </c>
      <c r="M335" t="s">
        <v>20</v>
      </c>
      <c r="N335">
        <f t="shared" si="20"/>
        <v>18900</v>
      </c>
      <c r="O335">
        <f t="shared" si="21"/>
        <v>13900</v>
      </c>
      <c r="P335">
        <f t="shared" si="22"/>
        <v>3266567.5</v>
      </c>
      <c r="Q335">
        <f t="shared" si="23"/>
        <v>2499817.5</v>
      </c>
    </row>
    <row r="336" spans="1:17">
      <c r="A336" t="s">
        <v>689</v>
      </c>
      <c r="B336" s="1">
        <v>45996</v>
      </c>
      <c r="C336" t="s">
        <v>225</v>
      </c>
      <c r="D336" t="s">
        <v>690</v>
      </c>
      <c r="E336" t="s">
        <v>32</v>
      </c>
      <c r="F336" t="s">
        <v>25</v>
      </c>
      <c r="G336" t="s">
        <v>18</v>
      </c>
      <c r="H336" t="s">
        <v>76</v>
      </c>
      <c r="I336">
        <v>4</v>
      </c>
      <c r="J336">
        <v>850</v>
      </c>
      <c r="K336">
        <v>0</v>
      </c>
      <c r="L336">
        <v>250</v>
      </c>
      <c r="M336" t="s">
        <v>20</v>
      </c>
      <c r="N336">
        <f t="shared" si="20"/>
        <v>3400</v>
      </c>
      <c r="O336">
        <f t="shared" si="21"/>
        <v>2400</v>
      </c>
      <c r="P336">
        <f t="shared" si="22"/>
        <v>3247667.5</v>
      </c>
      <c r="Q336">
        <f t="shared" si="23"/>
        <v>2485917.5</v>
      </c>
    </row>
    <row r="337" spans="1:17">
      <c r="A337" t="s">
        <v>691</v>
      </c>
      <c r="B337" s="1">
        <v>45927</v>
      </c>
      <c r="C337" t="s">
        <v>692</v>
      </c>
      <c r="D337" t="s">
        <v>290</v>
      </c>
      <c r="E337" t="s">
        <v>118</v>
      </c>
      <c r="F337" t="s">
        <v>40</v>
      </c>
      <c r="G337" t="s">
        <v>18</v>
      </c>
      <c r="H337" t="s">
        <v>85</v>
      </c>
      <c r="I337">
        <v>2</v>
      </c>
      <c r="J337">
        <v>350</v>
      </c>
      <c r="K337">
        <v>0.15</v>
      </c>
      <c r="L337">
        <v>100</v>
      </c>
      <c r="M337" t="s">
        <v>20</v>
      </c>
      <c r="N337">
        <f t="shared" si="20"/>
        <v>595</v>
      </c>
      <c r="O337">
        <f t="shared" si="21"/>
        <v>395</v>
      </c>
      <c r="P337">
        <f t="shared" si="22"/>
        <v>3244267.5</v>
      </c>
      <c r="Q337">
        <f t="shared" si="23"/>
        <v>2483517.5</v>
      </c>
    </row>
    <row r="338" spans="1:17">
      <c r="A338" t="s">
        <v>693</v>
      </c>
      <c r="B338" s="1">
        <v>45860</v>
      </c>
      <c r="C338" t="s">
        <v>665</v>
      </c>
      <c r="D338" t="s">
        <v>200</v>
      </c>
      <c r="E338" t="s">
        <v>52</v>
      </c>
      <c r="F338" t="s">
        <v>33</v>
      </c>
      <c r="G338" t="s">
        <v>46</v>
      </c>
      <c r="H338" t="s">
        <v>60</v>
      </c>
      <c r="I338">
        <v>1</v>
      </c>
      <c r="J338">
        <v>2600</v>
      </c>
      <c r="K338">
        <v>0</v>
      </c>
      <c r="L338">
        <v>800</v>
      </c>
      <c r="M338" t="s">
        <v>20</v>
      </c>
      <c r="N338">
        <f t="shared" si="20"/>
        <v>2600</v>
      </c>
      <c r="O338">
        <f t="shared" si="21"/>
        <v>1800</v>
      </c>
      <c r="P338">
        <f t="shared" si="22"/>
        <v>3243672.5</v>
      </c>
      <c r="Q338">
        <f t="shared" si="23"/>
        <v>2483122.5</v>
      </c>
    </row>
    <row r="339" spans="1:17">
      <c r="A339" t="s">
        <v>694</v>
      </c>
      <c r="B339" s="1">
        <v>45823</v>
      </c>
      <c r="C339" t="s">
        <v>125</v>
      </c>
      <c r="D339" t="s">
        <v>44</v>
      </c>
      <c r="E339" t="s">
        <v>52</v>
      </c>
      <c r="F339" t="s">
        <v>25</v>
      </c>
      <c r="G339" t="s">
        <v>46</v>
      </c>
      <c r="H339" t="s">
        <v>60</v>
      </c>
      <c r="I339">
        <v>2</v>
      </c>
      <c r="J339">
        <v>2600</v>
      </c>
      <c r="K339">
        <v>0.1</v>
      </c>
      <c r="L339">
        <v>800</v>
      </c>
      <c r="M339" t="s">
        <v>48</v>
      </c>
      <c r="N339">
        <f t="shared" si="20"/>
        <v>4680</v>
      </c>
      <c r="O339">
        <f t="shared" si="21"/>
        <v>3080</v>
      </c>
      <c r="P339">
        <f t="shared" si="22"/>
        <v>3241072.5</v>
      </c>
      <c r="Q339">
        <f t="shared" si="23"/>
        <v>2481322.5</v>
      </c>
    </row>
    <row r="340" spans="1:17">
      <c r="A340" t="s">
        <v>695</v>
      </c>
      <c r="B340" s="1">
        <v>45809</v>
      </c>
      <c r="C340" t="s">
        <v>309</v>
      </c>
      <c r="D340" t="s">
        <v>331</v>
      </c>
      <c r="E340" t="s">
        <v>52</v>
      </c>
      <c r="F340" t="s">
        <v>40</v>
      </c>
      <c r="G340" t="s">
        <v>26</v>
      </c>
      <c r="H340" t="s">
        <v>159</v>
      </c>
      <c r="I340">
        <v>4</v>
      </c>
      <c r="J340">
        <v>8500</v>
      </c>
      <c r="K340">
        <v>0</v>
      </c>
      <c r="L340">
        <v>2100</v>
      </c>
      <c r="M340" t="s">
        <v>28</v>
      </c>
      <c r="N340">
        <f t="shared" si="20"/>
        <v>34000</v>
      </c>
      <c r="O340">
        <f t="shared" si="21"/>
        <v>25600</v>
      </c>
      <c r="P340">
        <f t="shared" si="22"/>
        <v>3236392.5</v>
      </c>
      <c r="Q340">
        <f t="shared" si="23"/>
        <v>2478242.5</v>
      </c>
    </row>
    <row r="341" spans="1:17">
      <c r="A341" t="s">
        <v>696</v>
      </c>
      <c r="B341" s="1">
        <v>45819</v>
      </c>
      <c r="C341" t="s">
        <v>65</v>
      </c>
      <c r="D341" t="s">
        <v>697</v>
      </c>
      <c r="E341" t="s">
        <v>84</v>
      </c>
      <c r="F341" t="s">
        <v>33</v>
      </c>
      <c r="G341" t="s">
        <v>18</v>
      </c>
      <c r="H341" t="s">
        <v>70</v>
      </c>
      <c r="I341">
        <v>3</v>
      </c>
      <c r="J341">
        <v>2400</v>
      </c>
      <c r="K341">
        <v>0.1</v>
      </c>
      <c r="L341">
        <v>650</v>
      </c>
      <c r="M341" t="s">
        <v>48</v>
      </c>
      <c r="N341">
        <f t="shared" si="20"/>
        <v>6480</v>
      </c>
      <c r="O341">
        <f t="shared" si="21"/>
        <v>4530</v>
      </c>
      <c r="P341">
        <f t="shared" si="22"/>
        <v>3202392.5</v>
      </c>
      <c r="Q341">
        <f t="shared" si="23"/>
        <v>2452642.5</v>
      </c>
    </row>
    <row r="342" spans="1:17">
      <c r="A342" t="s">
        <v>698</v>
      </c>
      <c r="B342" s="1">
        <v>45960</v>
      </c>
      <c r="C342" t="s">
        <v>217</v>
      </c>
      <c r="D342" t="s">
        <v>699</v>
      </c>
      <c r="E342" t="s">
        <v>32</v>
      </c>
      <c r="F342" t="s">
        <v>40</v>
      </c>
      <c r="G342" t="s">
        <v>34</v>
      </c>
      <c r="H342" t="s">
        <v>35</v>
      </c>
      <c r="I342">
        <v>4</v>
      </c>
      <c r="J342">
        <v>18000</v>
      </c>
      <c r="K342">
        <v>0.1</v>
      </c>
      <c r="L342">
        <v>3000</v>
      </c>
      <c r="M342" t="s">
        <v>48</v>
      </c>
      <c r="N342">
        <f t="shared" si="20"/>
        <v>64800</v>
      </c>
      <c r="O342">
        <f t="shared" si="21"/>
        <v>52800</v>
      </c>
      <c r="P342">
        <f t="shared" si="22"/>
        <v>3195912.5</v>
      </c>
      <c r="Q342">
        <f t="shared" si="23"/>
        <v>2448112.5</v>
      </c>
    </row>
    <row r="343" spans="1:17">
      <c r="A343" t="s">
        <v>700</v>
      </c>
      <c r="B343" s="1">
        <v>45891</v>
      </c>
      <c r="C343" t="s">
        <v>701</v>
      </c>
      <c r="D343" t="s">
        <v>66</v>
      </c>
      <c r="E343" t="s">
        <v>39</v>
      </c>
      <c r="F343" t="s">
        <v>25</v>
      </c>
      <c r="G343" t="s">
        <v>34</v>
      </c>
      <c r="H343" t="s">
        <v>35</v>
      </c>
      <c r="I343">
        <v>3</v>
      </c>
      <c r="J343">
        <v>18000</v>
      </c>
      <c r="K343">
        <v>0.1</v>
      </c>
      <c r="L343">
        <v>3000</v>
      </c>
      <c r="M343" t="s">
        <v>48</v>
      </c>
      <c r="N343">
        <f t="shared" si="20"/>
        <v>48600</v>
      </c>
      <c r="O343">
        <f t="shared" si="21"/>
        <v>39600</v>
      </c>
      <c r="P343">
        <f t="shared" si="22"/>
        <v>3131112.5</v>
      </c>
      <c r="Q343">
        <f t="shared" si="23"/>
        <v>2395312.5</v>
      </c>
    </row>
    <row r="344" spans="1:17">
      <c r="A344" t="s">
        <v>702</v>
      </c>
      <c r="B344" s="1">
        <v>45901</v>
      </c>
      <c r="C344" t="s">
        <v>703</v>
      </c>
      <c r="D344" t="s">
        <v>23</v>
      </c>
      <c r="E344" t="s">
        <v>118</v>
      </c>
      <c r="F344" t="s">
        <v>33</v>
      </c>
      <c r="G344" t="s">
        <v>34</v>
      </c>
      <c r="H344" t="s">
        <v>35</v>
      </c>
      <c r="I344">
        <v>1</v>
      </c>
      <c r="J344">
        <v>18000</v>
      </c>
      <c r="K344">
        <v>0.05</v>
      </c>
      <c r="L344">
        <v>3000</v>
      </c>
      <c r="M344" t="s">
        <v>20</v>
      </c>
      <c r="N344">
        <f t="shared" si="20"/>
        <v>17100</v>
      </c>
      <c r="O344">
        <f t="shared" si="21"/>
        <v>14100</v>
      </c>
      <c r="P344">
        <f t="shared" si="22"/>
        <v>3082512.5</v>
      </c>
      <c r="Q344">
        <f t="shared" si="23"/>
        <v>2355712.5</v>
      </c>
    </row>
    <row r="345" spans="1:17">
      <c r="A345" t="s">
        <v>704</v>
      </c>
      <c r="B345" s="1">
        <v>45859</v>
      </c>
      <c r="C345" t="s">
        <v>98</v>
      </c>
      <c r="D345" t="s">
        <v>705</v>
      </c>
      <c r="E345" t="s">
        <v>24</v>
      </c>
      <c r="F345" t="s">
        <v>40</v>
      </c>
      <c r="G345" t="s">
        <v>34</v>
      </c>
      <c r="H345" t="s">
        <v>35</v>
      </c>
      <c r="I345">
        <v>2</v>
      </c>
      <c r="J345">
        <v>18000</v>
      </c>
      <c r="K345">
        <v>0</v>
      </c>
      <c r="L345">
        <v>3000</v>
      </c>
      <c r="M345" t="s">
        <v>28</v>
      </c>
      <c r="N345">
        <f t="shared" si="20"/>
        <v>36000</v>
      </c>
      <c r="O345">
        <f t="shared" si="21"/>
        <v>30000</v>
      </c>
      <c r="P345">
        <f t="shared" si="22"/>
        <v>3065412.5</v>
      </c>
      <c r="Q345">
        <f t="shared" si="23"/>
        <v>2341612.5</v>
      </c>
    </row>
    <row r="346" spans="1:17">
      <c r="A346" t="s">
        <v>706</v>
      </c>
      <c r="B346" s="1">
        <v>45981</v>
      </c>
      <c r="C346" t="s">
        <v>707</v>
      </c>
      <c r="D346" t="s">
        <v>346</v>
      </c>
      <c r="E346" t="s">
        <v>24</v>
      </c>
      <c r="F346" t="s">
        <v>40</v>
      </c>
      <c r="G346" t="s">
        <v>34</v>
      </c>
      <c r="H346" t="s">
        <v>53</v>
      </c>
      <c r="I346">
        <v>2</v>
      </c>
      <c r="J346">
        <v>950</v>
      </c>
      <c r="K346">
        <v>0.15</v>
      </c>
      <c r="L346">
        <v>300</v>
      </c>
      <c r="M346" t="s">
        <v>48</v>
      </c>
      <c r="N346">
        <f t="shared" si="20"/>
        <v>1615</v>
      </c>
      <c r="O346">
        <f t="shared" si="21"/>
        <v>1015</v>
      </c>
      <c r="P346">
        <f t="shared" si="22"/>
        <v>3029412.5</v>
      </c>
      <c r="Q346">
        <f t="shared" si="23"/>
        <v>2311612.5</v>
      </c>
    </row>
    <row r="347" spans="1:17">
      <c r="A347" t="s">
        <v>708</v>
      </c>
      <c r="B347" s="1">
        <v>45715</v>
      </c>
      <c r="C347" t="s">
        <v>192</v>
      </c>
      <c r="D347" t="s">
        <v>259</v>
      </c>
      <c r="E347" t="s">
        <v>52</v>
      </c>
      <c r="F347" t="s">
        <v>17</v>
      </c>
      <c r="G347" t="s">
        <v>26</v>
      </c>
      <c r="H347" t="s">
        <v>27</v>
      </c>
      <c r="I347">
        <v>2</v>
      </c>
      <c r="J347">
        <v>22000</v>
      </c>
      <c r="K347">
        <v>0</v>
      </c>
      <c r="L347">
        <v>5000</v>
      </c>
      <c r="M347" t="s">
        <v>48</v>
      </c>
      <c r="N347">
        <f t="shared" si="20"/>
        <v>44000</v>
      </c>
      <c r="O347">
        <f t="shared" si="21"/>
        <v>34000</v>
      </c>
      <c r="P347">
        <f t="shared" si="22"/>
        <v>3027797.5</v>
      </c>
      <c r="Q347">
        <f t="shared" si="23"/>
        <v>2310597.5</v>
      </c>
    </row>
    <row r="348" spans="1:17">
      <c r="A348" t="s">
        <v>709</v>
      </c>
      <c r="B348" s="1">
        <v>45916</v>
      </c>
      <c r="C348" t="s">
        <v>90</v>
      </c>
      <c r="D348" t="s">
        <v>464</v>
      </c>
      <c r="E348" t="s">
        <v>24</v>
      </c>
      <c r="F348" t="s">
        <v>25</v>
      </c>
      <c r="G348" t="s">
        <v>26</v>
      </c>
      <c r="H348" t="s">
        <v>448</v>
      </c>
      <c r="I348">
        <v>3</v>
      </c>
      <c r="J348">
        <v>6500</v>
      </c>
      <c r="K348">
        <v>0.05</v>
      </c>
      <c r="L348">
        <v>1600</v>
      </c>
      <c r="M348" t="s">
        <v>20</v>
      </c>
      <c r="N348">
        <f t="shared" si="20"/>
        <v>18525</v>
      </c>
      <c r="O348">
        <f t="shared" si="21"/>
        <v>13725</v>
      </c>
      <c r="P348">
        <f t="shared" si="22"/>
        <v>2983797.5</v>
      </c>
      <c r="Q348">
        <f t="shared" si="23"/>
        <v>2276597.5</v>
      </c>
    </row>
    <row r="349" spans="1:17">
      <c r="A349" t="s">
        <v>710</v>
      </c>
      <c r="B349" s="1">
        <v>45798</v>
      </c>
      <c r="C349" t="s">
        <v>300</v>
      </c>
      <c r="D349" t="s">
        <v>619</v>
      </c>
      <c r="E349" t="s">
        <v>84</v>
      </c>
      <c r="F349" t="s">
        <v>33</v>
      </c>
      <c r="G349" t="s">
        <v>26</v>
      </c>
      <c r="H349" t="s">
        <v>159</v>
      </c>
      <c r="I349">
        <v>2</v>
      </c>
      <c r="J349">
        <v>8500</v>
      </c>
      <c r="K349">
        <v>0</v>
      </c>
      <c r="L349">
        <v>2100</v>
      </c>
      <c r="M349" t="s">
        <v>48</v>
      </c>
      <c r="N349">
        <f t="shared" si="20"/>
        <v>17000</v>
      </c>
      <c r="O349">
        <f t="shared" si="21"/>
        <v>12800</v>
      </c>
      <c r="P349">
        <f t="shared" si="22"/>
        <v>2965272.5</v>
      </c>
      <c r="Q349">
        <f t="shared" si="23"/>
        <v>2262872.5</v>
      </c>
    </row>
    <row r="350" spans="1:17">
      <c r="A350" t="s">
        <v>711</v>
      </c>
      <c r="B350" s="1">
        <v>45931</v>
      </c>
      <c r="C350" t="s">
        <v>176</v>
      </c>
      <c r="D350" t="s">
        <v>229</v>
      </c>
      <c r="E350" t="s">
        <v>24</v>
      </c>
      <c r="F350" t="s">
        <v>40</v>
      </c>
      <c r="G350" t="s">
        <v>34</v>
      </c>
      <c r="H350" t="s">
        <v>35</v>
      </c>
      <c r="I350">
        <v>3</v>
      </c>
      <c r="J350">
        <v>18000</v>
      </c>
      <c r="K350">
        <v>0.1</v>
      </c>
      <c r="L350">
        <v>3000</v>
      </c>
      <c r="M350" t="s">
        <v>28</v>
      </c>
      <c r="N350">
        <f t="shared" si="20"/>
        <v>48600</v>
      </c>
      <c r="O350">
        <f t="shared" si="21"/>
        <v>39600</v>
      </c>
      <c r="P350">
        <f t="shared" si="22"/>
        <v>2948272.5</v>
      </c>
      <c r="Q350">
        <f t="shared" si="23"/>
        <v>2250072.5</v>
      </c>
    </row>
    <row r="351" spans="1:17">
      <c r="A351" t="s">
        <v>712</v>
      </c>
      <c r="B351" s="1">
        <v>45710</v>
      </c>
      <c r="C351" t="s">
        <v>37</v>
      </c>
      <c r="D351" t="s">
        <v>514</v>
      </c>
      <c r="E351" t="s">
        <v>32</v>
      </c>
      <c r="F351" t="s">
        <v>33</v>
      </c>
      <c r="G351" t="s">
        <v>46</v>
      </c>
      <c r="H351" t="s">
        <v>80</v>
      </c>
      <c r="I351">
        <v>1</v>
      </c>
      <c r="J351">
        <v>1900</v>
      </c>
      <c r="K351">
        <v>0.1</v>
      </c>
      <c r="L351">
        <v>600</v>
      </c>
      <c r="M351" t="s">
        <v>48</v>
      </c>
      <c r="N351">
        <f t="shared" si="20"/>
        <v>1710</v>
      </c>
      <c r="O351">
        <f t="shared" si="21"/>
        <v>1110</v>
      </c>
      <c r="P351">
        <f t="shared" si="22"/>
        <v>2899672.5</v>
      </c>
      <c r="Q351">
        <f t="shared" si="23"/>
        <v>2210472.5</v>
      </c>
    </row>
    <row r="352" spans="1:17">
      <c r="A352" t="s">
        <v>713</v>
      </c>
      <c r="B352" s="1">
        <v>45837</v>
      </c>
      <c r="C352" t="s">
        <v>635</v>
      </c>
      <c r="D352" t="s">
        <v>327</v>
      </c>
      <c r="E352" t="s">
        <v>39</v>
      </c>
      <c r="F352" t="s">
        <v>25</v>
      </c>
      <c r="G352" t="s">
        <v>18</v>
      </c>
      <c r="H352" t="s">
        <v>76</v>
      </c>
      <c r="I352">
        <v>1</v>
      </c>
      <c r="J352">
        <v>850</v>
      </c>
      <c r="K352">
        <v>0</v>
      </c>
      <c r="L352">
        <v>250</v>
      </c>
      <c r="M352" t="s">
        <v>28</v>
      </c>
      <c r="N352">
        <f t="shared" si="20"/>
        <v>850</v>
      </c>
      <c r="O352">
        <f t="shared" si="21"/>
        <v>600</v>
      </c>
      <c r="P352">
        <f t="shared" si="22"/>
        <v>2897962.5</v>
      </c>
      <c r="Q352">
        <f t="shared" si="23"/>
        <v>2209362.5</v>
      </c>
    </row>
    <row r="353" spans="1:17">
      <c r="A353" t="s">
        <v>714</v>
      </c>
      <c r="B353" s="1">
        <v>45708</v>
      </c>
      <c r="C353" t="s">
        <v>715</v>
      </c>
      <c r="D353" t="s">
        <v>638</v>
      </c>
      <c r="E353" t="s">
        <v>52</v>
      </c>
      <c r="F353" t="s">
        <v>40</v>
      </c>
      <c r="G353" t="s">
        <v>26</v>
      </c>
      <c r="H353" t="s">
        <v>92</v>
      </c>
      <c r="I353">
        <v>4</v>
      </c>
      <c r="J353">
        <v>15000</v>
      </c>
      <c r="K353">
        <v>0.1</v>
      </c>
      <c r="L353">
        <v>3500</v>
      </c>
      <c r="M353" t="s">
        <v>28</v>
      </c>
      <c r="N353">
        <f t="shared" si="20"/>
        <v>54000</v>
      </c>
      <c r="O353">
        <f t="shared" si="21"/>
        <v>40000</v>
      </c>
      <c r="P353">
        <f t="shared" si="22"/>
        <v>2897112.5</v>
      </c>
      <c r="Q353">
        <f t="shared" si="23"/>
        <v>2208762.5</v>
      </c>
    </row>
    <row r="354" spans="1:17">
      <c r="A354" t="s">
        <v>716</v>
      </c>
      <c r="B354" s="1">
        <v>45962</v>
      </c>
      <c r="C354" t="s">
        <v>37</v>
      </c>
      <c r="D354" t="s">
        <v>488</v>
      </c>
      <c r="E354" t="s">
        <v>16</v>
      </c>
      <c r="F354" t="s">
        <v>17</v>
      </c>
      <c r="G354" t="s">
        <v>46</v>
      </c>
      <c r="H354" t="s">
        <v>340</v>
      </c>
      <c r="I354">
        <v>2</v>
      </c>
      <c r="J354">
        <v>1400</v>
      </c>
      <c r="K354">
        <v>0</v>
      </c>
      <c r="L354">
        <v>450</v>
      </c>
      <c r="M354" t="s">
        <v>48</v>
      </c>
      <c r="N354">
        <f t="shared" si="20"/>
        <v>2800</v>
      </c>
      <c r="O354">
        <f t="shared" si="21"/>
        <v>1900</v>
      </c>
      <c r="P354">
        <f t="shared" si="22"/>
        <v>2843112.5</v>
      </c>
      <c r="Q354">
        <f t="shared" si="23"/>
        <v>2168762.5</v>
      </c>
    </row>
    <row r="355" spans="1:17">
      <c r="A355" t="s">
        <v>717</v>
      </c>
      <c r="B355" s="1">
        <v>45756</v>
      </c>
      <c r="C355" t="s">
        <v>131</v>
      </c>
      <c r="D355" t="s">
        <v>226</v>
      </c>
      <c r="E355" t="s">
        <v>39</v>
      </c>
      <c r="F355" t="s">
        <v>33</v>
      </c>
      <c r="G355" t="s">
        <v>18</v>
      </c>
      <c r="H355" t="s">
        <v>76</v>
      </c>
      <c r="I355">
        <v>4</v>
      </c>
      <c r="J355">
        <v>850</v>
      </c>
      <c r="K355">
        <v>0.1</v>
      </c>
      <c r="L355">
        <v>250</v>
      </c>
      <c r="M355" t="s">
        <v>28</v>
      </c>
      <c r="N355">
        <f t="shared" si="20"/>
        <v>3060</v>
      </c>
      <c r="O355">
        <f t="shared" si="21"/>
        <v>2060</v>
      </c>
      <c r="P355">
        <f t="shared" si="22"/>
        <v>2840312.5</v>
      </c>
      <c r="Q355">
        <f t="shared" si="23"/>
        <v>2166862.5</v>
      </c>
    </row>
    <row r="356" spans="1:17">
      <c r="A356" t="s">
        <v>718</v>
      </c>
      <c r="B356" s="1">
        <v>45893</v>
      </c>
      <c r="C356" t="s">
        <v>362</v>
      </c>
      <c r="D356" t="s">
        <v>248</v>
      </c>
      <c r="E356" t="s">
        <v>39</v>
      </c>
      <c r="F356" t="s">
        <v>33</v>
      </c>
      <c r="G356" t="s">
        <v>18</v>
      </c>
      <c r="H356" t="s">
        <v>85</v>
      </c>
      <c r="I356">
        <v>3</v>
      </c>
      <c r="J356">
        <v>350</v>
      </c>
      <c r="K356">
        <v>0.15</v>
      </c>
      <c r="L356">
        <v>100</v>
      </c>
      <c r="M356" t="s">
        <v>28</v>
      </c>
      <c r="N356">
        <f t="shared" si="20"/>
        <v>892.5</v>
      </c>
      <c r="O356">
        <f t="shared" si="21"/>
        <v>592.5</v>
      </c>
      <c r="P356">
        <f t="shared" si="22"/>
        <v>2837252.5</v>
      </c>
      <c r="Q356">
        <f t="shared" si="23"/>
        <v>2164802.5</v>
      </c>
    </row>
    <row r="357" spans="1:17">
      <c r="A357" t="s">
        <v>719</v>
      </c>
      <c r="B357" s="1">
        <v>45830</v>
      </c>
      <c r="C357" t="s">
        <v>82</v>
      </c>
      <c r="D357" t="s">
        <v>158</v>
      </c>
      <c r="E357" t="s">
        <v>118</v>
      </c>
      <c r="F357" t="s">
        <v>17</v>
      </c>
      <c r="G357" t="s">
        <v>18</v>
      </c>
      <c r="H357" t="s">
        <v>70</v>
      </c>
      <c r="I357">
        <v>5</v>
      </c>
      <c r="J357">
        <v>2400</v>
      </c>
      <c r="K357">
        <v>0.05</v>
      </c>
      <c r="L357">
        <v>650</v>
      </c>
      <c r="M357" t="s">
        <v>20</v>
      </c>
      <c r="N357">
        <f t="shared" si="20"/>
        <v>11400</v>
      </c>
      <c r="O357">
        <f t="shared" si="21"/>
        <v>8150</v>
      </c>
      <c r="P357">
        <f t="shared" si="22"/>
        <v>2836360</v>
      </c>
      <c r="Q357">
        <f t="shared" si="23"/>
        <v>2164210</v>
      </c>
    </row>
    <row r="358" spans="1:17">
      <c r="A358" t="s">
        <v>720</v>
      </c>
      <c r="B358" s="1">
        <v>45845</v>
      </c>
      <c r="C358" t="s">
        <v>692</v>
      </c>
      <c r="D358" t="s">
        <v>59</v>
      </c>
      <c r="E358" t="s">
        <v>118</v>
      </c>
      <c r="F358" t="s">
        <v>40</v>
      </c>
      <c r="G358" t="s">
        <v>18</v>
      </c>
      <c r="H358" t="s">
        <v>85</v>
      </c>
      <c r="I358">
        <v>4</v>
      </c>
      <c r="J358">
        <v>350</v>
      </c>
      <c r="K358">
        <v>0.15</v>
      </c>
      <c r="L358">
        <v>100</v>
      </c>
      <c r="M358" t="s">
        <v>28</v>
      </c>
      <c r="N358">
        <f t="shared" si="20"/>
        <v>1190</v>
      </c>
      <c r="O358">
        <f t="shared" si="21"/>
        <v>790</v>
      </c>
      <c r="P358">
        <f t="shared" si="22"/>
        <v>2824960</v>
      </c>
      <c r="Q358">
        <f t="shared" si="23"/>
        <v>2156060</v>
      </c>
    </row>
    <row r="359" spans="1:17">
      <c r="A359" t="s">
        <v>721</v>
      </c>
      <c r="B359" s="1">
        <v>46009</v>
      </c>
      <c r="C359" t="s">
        <v>584</v>
      </c>
      <c r="D359" t="s">
        <v>292</v>
      </c>
      <c r="E359" t="s">
        <v>84</v>
      </c>
      <c r="F359" t="s">
        <v>40</v>
      </c>
      <c r="G359" t="s">
        <v>26</v>
      </c>
      <c r="H359" t="s">
        <v>27</v>
      </c>
      <c r="I359">
        <v>2</v>
      </c>
      <c r="J359">
        <v>22000</v>
      </c>
      <c r="K359">
        <v>0</v>
      </c>
      <c r="L359">
        <v>5000</v>
      </c>
      <c r="M359" t="s">
        <v>28</v>
      </c>
      <c r="N359">
        <f t="shared" si="20"/>
        <v>44000</v>
      </c>
      <c r="O359">
        <f t="shared" si="21"/>
        <v>34000</v>
      </c>
      <c r="P359">
        <f t="shared" si="22"/>
        <v>2823770</v>
      </c>
      <c r="Q359">
        <f t="shared" si="23"/>
        <v>2155270</v>
      </c>
    </row>
    <row r="360" spans="1:17">
      <c r="A360" t="s">
        <v>722</v>
      </c>
      <c r="B360" s="1">
        <v>45943</v>
      </c>
      <c r="C360" t="s">
        <v>413</v>
      </c>
      <c r="D360" t="s">
        <v>451</v>
      </c>
      <c r="E360" t="s">
        <v>118</v>
      </c>
      <c r="F360" t="s">
        <v>25</v>
      </c>
      <c r="G360" t="s">
        <v>26</v>
      </c>
      <c r="H360" t="s">
        <v>27</v>
      </c>
      <c r="I360">
        <v>1</v>
      </c>
      <c r="J360">
        <v>22000</v>
      </c>
      <c r="K360">
        <v>0.15</v>
      </c>
      <c r="L360">
        <v>5000</v>
      </c>
      <c r="M360" t="s">
        <v>28</v>
      </c>
      <c r="N360">
        <f t="shared" si="20"/>
        <v>18700</v>
      </c>
      <c r="O360">
        <f t="shared" si="21"/>
        <v>13700</v>
      </c>
      <c r="P360">
        <f t="shared" si="22"/>
        <v>2779770</v>
      </c>
      <c r="Q360">
        <f t="shared" si="23"/>
        <v>2121270</v>
      </c>
    </row>
    <row r="361" spans="1:17">
      <c r="A361" t="s">
        <v>723</v>
      </c>
      <c r="B361" s="1">
        <v>45849</v>
      </c>
      <c r="C361" t="s">
        <v>474</v>
      </c>
      <c r="D361" t="s">
        <v>724</v>
      </c>
      <c r="E361" t="s">
        <v>32</v>
      </c>
      <c r="F361" t="s">
        <v>33</v>
      </c>
      <c r="G361" t="s">
        <v>26</v>
      </c>
      <c r="H361" t="s">
        <v>92</v>
      </c>
      <c r="I361">
        <v>4</v>
      </c>
      <c r="J361">
        <v>15000</v>
      </c>
      <c r="K361">
        <v>0</v>
      </c>
      <c r="L361">
        <v>3500</v>
      </c>
      <c r="M361" t="s">
        <v>20</v>
      </c>
      <c r="N361">
        <f t="shared" si="20"/>
        <v>60000</v>
      </c>
      <c r="O361">
        <f t="shared" si="21"/>
        <v>46000</v>
      </c>
      <c r="P361">
        <f t="shared" si="22"/>
        <v>2761070</v>
      </c>
      <c r="Q361">
        <f t="shared" si="23"/>
        <v>2107570</v>
      </c>
    </row>
    <row r="362" spans="1:17">
      <c r="A362" t="s">
        <v>725</v>
      </c>
      <c r="B362" s="1">
        <v>45909</v>
      </c>
      <c r="C362" t="s">
        <v>429</v>
      </c>
      <c r="D362" t="s">
        <v>102</v>
      </c>
      <c r="E362" t="s">
        <v>45</v>
      </c>
      <c r="F362" t="s">
        <v>33</v>
      </c>
      <c r="G362" t="s">
        <v>26</v>
      </c>
      <c r="H362" t="s">
        <v>92</v>
      </c>
      <c r="I362">
        <v>4</v>
      </c>
      <c r="J362">
        <v>15000</v>
      </c>
      <c r="K362">
        <v>0.05</v>
      </c>
      <c r="L362">
        <v>3500</v>
      </c>
      <c r="M362" t="s">
        <v>20</v>
      </c>
      <c r="N362">
        <f t="shared" si="20"/>
        <v>57000</v>
      </c>
      <c r="O362">
        <f t="shared" si="21"/>
        <v>43000</v>
      </c>
      <c r="P362">
        <f t="shared" si="22"/>
        <v>2701070</v>
      </c>
      <c r="Q362">
        <f t="shared" si="23"/>
        <v>2061570</v>
      </c>
    </row>
    <row r="363" spans="1:17">
      <c r="A363" t="s">
        <v>726</v>
      </c>
      <c r="B363" s="1">
        <v>46002</v>
      </c>
      <c r="C363" t="s">
        <v>300</v>
      </c>
      <c r="D363" t="s">
        <v>514</v>
      </c>
      <c r="E363" t="s">
        <v>32</v>
      </c>
      <c r="F363" t="s">
        <v>17</v>
      </c>
      <c r="G363" t="s">
        <v>18</v>
      </c>
      <c r="H363" t="s">
        <v>70</v>
      </c>
      <c r="I363">
        <v>5</v>
      </c>
      <c r="J363">
        <v>2400</v>
      </c>
      <c r="K363">
        <v>0</v>
      </c>
      <c r="L363">
        <v>650</v>
      </c>
      <c r="M363" t="s">
        <v>28</v>
      </c>
      <c r="N363">
        <f t="shared" si="20"/>
        <v>12000</v>
      </c>
      <c r="O363">
        <f t="shared" si="21"/>
        <v>8750</v>
      </c>
      <c r="P363">
        <f t="shared" si="22"/>
        <v>2644070</v>
      </c>
      <c r="Q363">
        <f t="shared" si="23"/>
        <v>2018570</v>
      </c>
    </row>
    <row r="364" spans="1:17">
      <c r="A364" t="s">
        <v>727</v>
      </c>
      <c r="B364" s="1">
        <v>45915</v>
      </c>
      <c r="C364" t="s">
        <v>50</v>
      </c>
      <c r="D364" t="s">
        <v>724</v>
      </c>
      <c r="E364" t="s">
        <v>16</v>
      </c>
      <c r="F364" t="s">
        <v>40</v>
      </c>
      <c r="G364" t="s">
        <v>26</v>
      </c>
      <c r="H364" t="s">
        <v>448</v>
      </c>
      <c r="I364">
        <v>3</v>
      </c>
      <c r="J364">
        <v>6500</v>
      </c>
      <c r="K364">
        <v>0.1</v>
      </c>
      <c r="L364">
        <v>1600</v>
      </c>
      <c r="M364" t="s">
        <v>48</v>
      </c>
      <c r="N364">
        <f t="shared" si="20"/>
        <v>17550</v>
      </c>
      <c r="O364">
        <f t="shared" si="21"/>
        <v>12750</v>
      </c>
      <c r="P364">
        <f t="shared" si="22"/>
        <v>2632070</v>
      </c>
      <c r="Q364">
        <f t="shared" si="23"/>
        <v>2009820</v>
      </c>
    </row>
    <row r="365" spans="1:17">
      <c r="A365" t="s">
        <v>728</v>
      </c>
      <c r="B365" s="1">
        <v>45853</v>
      </c>
      <c r="C365" t="s">
        <v>329</v>
      </c>
      <c r="D365" t="s">
        <v>729</v>
      </c>
      <c r="E365" t="s">
        <v>32</v>
      </c>
      <c r="F365" t="s">
        <v>40</v>
      </c>
      <c r="G365" t="s">
        <v>18</v>
      </c>
      <c r="H365" t="s">
        <v>19</v>
      </c>
      <c r="I365">
        <v>2</v>
      </c>
      <c r="J365">
        <v>1200</v>
      </c>
      <c r="K365">
        <v>0.1</v>
      </c>
      <c r="L365">
        <v>350</v>
      </c>
      <c r="M365" t="s">
        <v>48</v>
      </c>
      <c r="N365">
        <f t="shared" si="20"/>
        <v>2160</v>
      </c>
      <c r="O365">
        <f t="shared" si="21"/>
        <v>1460</v>
      </c>
      <c r="P365">
        <f t="shared" si="22"/>
        <v>2614520</v>
      </c>
      <c r="Q365">
        <f t="shared" si="23"/>
        <v>1997070</v>
      </c>
    </row>
    <row r="366" spans="1:17">
      <c r="A366" t="s">
        <v>730</v>
      </c>
      <c r="B366" s="1">
        <v>45700</v>
      </c>
      <c r="C366" t="s">
        <v>312</v>
      </c>
      <c r="D366" t="s">
        <v>267</v>
      </c>
      <c r="E366" t="s">
        <v>39</v>
      </c>
      <c r="F366" t="s">
        <v>33</v>
      </c>
      <c r="G366" t="s">
        <v>46</v>
      </c>
      <c r="H366" t="s">
        <v>80</v>
      </c>
      <c r="I366">
        <v>4</v>
      </c>
      <c r="J366">
        <v>1900</v>
      </c>
      <c r="K366">
        <v>0</v>
      </c>
      <c r="L366">
        <v>600</v>
      </c>
      <c r="M366" t="s">
        <v>48</v>
      </c>
      <c r="N366">
        <f t="shared" si="20"/>
        <v>7600</v>
      </c>
      <c r="O366">
        <f t="shared" si="21"/>
        <v>5200</v>
      </c>
      <c r="P366">
        <f t="shared" si="22"/>
        <v>2612360</v>
      </c>
      <c r="Q366">
        <f t="shared" si="23"/>
        <v>1995610</v>
      </c>
    </row>
    <row r="367" spans="1:17">
      <c r="A367" t="s">
        <v>731</v>
      </c>
      <c r="B367" s="1">
        <v>45696</v>
      </c>
      <c r="C367" t="s">
        <v>306</v>
      </c>
      <c r="D367" t="s">
        <v>304</v>
      </c>
      <c r="E367" t="s">
        <v>45</v>
      </c>
      <c r="F367" t="s">
        <v>33</v>
      </c>
      <c r="G367" t="s">
        <v>34</v>
      </c>
      <c r="H367" t="s">
        <v>56</v>
      </c>
      <c r="I367">
        <v>4</v>
      </c>
      <c r="J367">
        <v>1800</v>
      </c>
      <c r="K367">
        <v>0</v>
      </c>
      <c r="L367">
        <v>650</v>
      </c>
      <c r="M367" t="s">
        <v>28</v>
      </c>
      <c r="N367">
        <f t="shared" si="20"/>
        <v>7200</v>
      </c>
      <c r="O367">
        <f t="shared" si="21"/>
        <v>4600</v>
      </c>
      <c r="P367">
        <f t="shared" si="22"/>
        <v>2604760</v>
      </c>
      <c r="Q367">
        <f t="shared" si="23"/>
        <v>1990410</v>
      </c>
    </row>
    <row r="368" spans="1:17">
      <c r="A368" t="s">
        <v>732</v>
      </c>
      <c r="B368" s="1">
        <v>45858</v>
      </c>
      <c r="C368" t="s">
        <v>283</v>
      </c>
      <c r="D368" t="s">
        <v>400</v>
      </c>
      <c r="E368" t="s">
        <v>45</v>
      </c>
      <c r="F368" t="s">
        <v>33</v>
      </c>
      <c r="G368" t="s">
        <v>46</v>
      </c>
      <c r="H368" t="s">
        <v>60</v>
      </c>
      <c r="I368">
        <v>1</v>
      </c>
      <c r="J368">
        <v>2600</v>
      </c>
      <c r="K368">
        <v>0.1</v>
      </c>
      <c r="L368">
        <v>800</v>
      </c>
      <c r="M368" t="s">
        <v>28</v>
      </c>
      <c r="N368">
        <f t="shared" si="20"/>
        <v>2340</v>
      </c>
      <c r="O368">
        <f t="shared" si="21"/>
        <v>1540</v>
      </c>
      <c r="P368">
        <f t="shared" si="22"/>
        <v>2597560</v>
      </c>
      <c r="Q368">
        <f t="shared" si="23"/>
        <v>1985810</v>
      </c>
    </row>
    <row r="369" spans="1:17">
      <c r="A369" t="s">
        <v>733</v>
      </c>
      <c r="B369" s="1">
        <v>45949</v>
      </c>
      <c r="C369" t="s">
        <v>75</v>
      </c>
      <c r="D369" t="s">
        <v>190</v>
      </c>
      <c r="E369" t="s">
        <v>39</v>
      </c>
      <c r="F369" t="s">
        <v>17</v>
      </c>
      <c r="G369" t="s">
        <v>18</v>
      </c>
      <c r="H369" t="s">
        <v>19</v>
      </c>
      <c r="I369">
        <v>1</v>
      </c>
      <c r="J369">
        <v>1200</v>
      </c>
      <c r="K369">
        <v>0</v>
      </c>
      <c r="L369">
        <v>350</v>
      </c>
      <c r="M369" t="s">
        <v>28</v>
      </c>
      <c r="N369">
        <f t="shared" si="20"/>
        <v>1200</v>
      </c>
      <c r="O369">
        <f t="shared" si="21"/>
        <v>850</v>
      </c>
      <c r="P369">
        <f t="shared" si="22"/>
        <v>2595220</v>
      </c>
      <c r="Q369">
        <f t="shared" si="23"/>
        <v>1984270</v>
      </c>
    </row>
    <row r="370" spans="1:17">
      <c r="A370" t="s">
        <v>734</v>
      </c>
      <c r="B370" s="1">
        <v>45940</v>
      </c>
      <c r="C370" t="s">
        <v>134</v>
      </c>
      <c r="D370" t="s">
        <v>203</v>
      </c>
      <c r="E370" t="s">
        <v>52</v>
      </c>
      <c r="F370" t="s">
        <v>33</v>
      </c>
      <c r="G370" t="s">
        <v>26</v>
      </c>
      <c r="H370" t="s">
        <v>153</v>
      </c>
      <c r="I370">
        <v>4</v>
      </c>
      <c r="J370">
        <v>4200</v>
      </c>
      <c r="K370">
        <v>0.1</v>
      </c>
      <c r="L370">
        <v>1000</v>
      </c>
      <c r="M370" t="s">
        <v>48</v>
      </c>
      <c r="N370">
        <f t="shared" si="20"/>
        <v>15120</v>
      </c>
      <c r="O370">
        <f t="shared" si="21"/>
        <v>11120</v>
      </c>
      <c r="P370">
        <f t="shared" si="22"/>
        <v>2594020</v>
      </c>
      <c r="Q370">
        <f t="shared" si="23"/>
        <v>1983420</v>
      </c>
    </row>
    <row r="371" spans="1:17">
      <c r="A371" t="s">
        <v>735</v>
      </c>
      <c r="B371" s="1">
        <v>45681</v>
      </c>
      <c r="C371" t="s">
        <v>87</v>
      </c>
      <c r="D371" t="s">
        <v>259</v>
      </c>
      <c r="E371" t="s">
        <v>32</v>
      </c>
      <c r="F371" t="s">
        <v>33</v>
      </c>
      <c r="G371" t="s">
        <v>34</v>
      </c>
      <c r="H371" t="s">
        <v>106</v>
      </c>
      <c r="I371">
        <v>3</v>
      </c>
      <c r="J371">
        <v>650</v>
      </c>
      <c r="K371">
        <v>0.15</v>
      </c>
      <c r="L371">
        <v>200</v>
      </c>
      <c r="M371" t="s">
        <v>28</v>
      </c>
      <c r="N371">
        <f t="shared" si="20"/>
        <v>1657.5</v>
      </c>
      <c r="O371">
        <f t="shared" si="21"/>
        <v>1057.5</v>
      </c>
      <c r="P371">
        <f t="shared" si="22"/>
        <v>2578900</v>
      </c>
      <c r="Q371">
        <f t="shared" si="23"/>
        <v>1972300</v>
      </c>
    </row>
    <row r="372" spans="1:17">
      <c r="A372" t="s">
        <v>736</v>
      </c>
      <c r="B372" s="1">
        <v>45995</v>
      </c>
      <c r="C372" t="s">
        <v>737</v>
      </c>
      <c r="D372" t="s">
        <v>205</v>
      </c>
      <c r="E372" t="s">
        <v>16</v>
      </c>
      <c r="F372" t="s">
        <v>17</v>
      </c>
      <c r="G372" t="s">
        <v>46</v>
      </c>
      <c r="H372" t="s">
        <v>96</v>
      </c>
      <c r="I372">
        <v>5</v>
      </c>
      <c r="J372">
        <v>3200</v>
      </c>
      <c r="K372">
        <v>0</v>
      </c>
      <c r="L372">
        <v>950</v>
      </c>
      <c r="M372" t="s">
        <v>48</v>
      </c>
      <c r="N372">
        <f t="shared" si="20"/>
        <v>16000</v>
      </c>
      <c r="O372">
        <f t="shared" si="21"/>
        <v>11250</v>
      </c>
      <c r="P372">
        <f t="shared" si="22"/>
        <v>2577242.5</v>
      </c>
      <c r="Q372">
        <f t="shared" si="23"/>
        <v>1971242.5</v>
      </c>
    </row>
    <row r="373" spans="1:17">
      <c r="A373" t="s">
        <v>738</v>
      </c>
      <c r="B373" s="1">
        <v>45887</v>
      </c>
      <c r="C373" t="s">
        <v>562</v>
      </c>
      <c r="D373" t="s">
        <v>400</v>
      </c>
      <c r="E373" t="s">
        <v>24</v>
      </c>
      <c r="F373" t="s">
        <v>17</v>
      </c>
      <c r="G373" t="s">
        <v>34</v>
      </c>
      <c r="H373" t="s">
        <v>41</v>
      </c>
      <c r="I373">
        <v>1</v>
      </c>
      <c r="J373">
        <v>52000</v>
      </c>
      <c r="K373">
        <v>0.05</v>
      </c>
      <c r="L373">
        <v>9000</v>
      </c>
      <c r="M373" t="s">
        <v>48</v>
      </c>
      <c r="N373">
        <f t="shared" si="20"/>
        <v>49400</v>
      </c>
      <c r="O373">
        <f t="shared" si="21"/>
        <v>40400</v>
      </c>
      <c r="P373">
        <f t="shared" si="22"/>
        <v>2561242.5</v>
      </c>
      <c r="Q373">
        <f t="shared" si="23"/>
        <v>1959992.5</v>
      </c>
    </row>
    <row r="374" spans="1:17">
      <c r="A374" t="s">
        <v>739</v>
      </c>
      <c r="B374" s="1">
        <v>46005</v>
      </c>
      <c r="C374" t="s">
        <v>445</v>
      </c>
      <c r="D374" t="s">
        <v>740</v>
      </c>
      <c r="E374" t="s">
        <v>32</v>
      </c>
      <c r="F374" t="s">
        <v>33</v>
      </c>
      <c r="G374" t="s">
        <v>18</v>
      </c>
      <c r="H374" t="s">
        <v>76</v>
      </c>
      <c r="I374">
        <v>2</v>
      </c>
      <c r="J374">
        <v>850</v>
      </c>
      <c r="K374">
        <v>0.05</v>
      </c>
      <c r="L374">
        <v>250</v>
      </c>
      <c r="M374" t="s">
        <v>20</v>
      </c>
      <c r="N374">
        <f t="shared" si="20"/>
        <v>1615</v>
      </c>
      <c r="O374">
        <f t="shared" si="21"/>
        <v>1115</v>
      </c>
      <c r="P374">
        <f t="shared" si="22"/>
        <v>2511842.5</v>
      </c>
      <c r="Q374">
        <f t="shared" si="23"/>
        <v>1919592.5</v>
      </c>
    </row>
    <row r="375" spans="1:17">
      <c r="A375" t="s">
        <v>741</v>
      </c>
      <c r="B375" s="1">
        <v>45776</v>
      </c>
      <c r="C375" t="s">
        <v>37</v>
      </c>
      <c r="D375" t="s">
        <v>187</v>
      </c>
      <c r="E375" t="s">
        <v>16</v>
      </c>
      <c r="F375" t="s">
        <v>33</v>
      </c>
      <c r="G375" t="s">
        <v>18</v>
      </c>
      <c r="H375" t="s">
        <v>136</v>
      </c>
      <c r="I375">
        <v>2</v>
      </c>
      <c r="J375">
        <v>2800</v>
      </c>
      <c r="K375">
        <v>0.1</v>
      </c>
      <c r="L375">
        <v>750</v>
      </c>
      <c r="M375" t="s">
        <v>48</v>
      </c>
      <c r="N375">
        <f t="shared" si="20"/>
        <v>5040</v>
      </c>
      <c r="O375">
        <f t="shared" si="21"/>
        <v>3540</v>
      </c>
      <c r="P375">
        <f t="shared" si="22"/>
        <v>2510227.5</v>
      </c>
      <c r="Q375">
        <f t="shared" si="23"/>
        <v>1918477.5</v>
      </c>
    </row>
    <row r="376" spans="1:17">
      <c r="A376" t="s">
        <v>742</v>
      </c>
      <c r="B376" s="1">
        <v>45838</v>
      </c>
      <c r="C376" t="s">
        <v>671</v>
      </c>
      <c r="D376" t="s">
        <v>55</v>
      </c>
      <c r="E376" t="s">
        <v>24</v>
      </c>
      <c r="F376" t="s">
        <v>40</v>
      </c>
      <c r="G376" t="s">
        <v>46</v>
      </c>
      <c r="H376" t="s">
        <v>47</v>
      </c>
      <c r="I376">
        <v>1</v>
      </c>
      <c r="J376">
        <v>550</v>
      </c>
      <c r="K376">
        <v>0.1</v>
      </c>
      <c r="L376">
        <v>180</v>
      </c>
      <c r="M376" t="s">
        <v>20</v>
      </c>
      <c r="N376">
        <f t="shared" si="20"/>
        <v>495</v>
      </c>
      <c r="O376">
        <f t="shared" si="21"/>
        <v>315</v>
      </c>
      <c r="P376">
        <f t="shared" si="22"/>
        <v>2505187.5</v>
      </c>
      <c r="Q376">
        <f t="shared" si="23"/>
        <v>1914937.5</v>
      </c>
    </row>
    <row r="377" spans="1:17">
      <c r="A377" t="s">
        <v>743</v>
      </c>
      <c r="B377" s="1">
        <v>45739</v>
      </c>
      <c r="C377" t="s">
        <v>744</v>
      </c>
      <c r="D377" t="s">
        <v>99</v>
      </c>
      <c r="E377" t="s">
        <v>16</v>
      </c>
      <c r="F377" t="s">
        <v>33</v>
      </c>
      <c r="G377" t="s">
        <v>26</v>
      </c>
      <c r="H377" t="s">
        <v>159</v>
      </c>
      <c r="I377">
        <v>5</v>
      </c>
      <c r="J377">
        <v>8500</v>
      </c>
      <c r="K377">
        <v>0.05</v>
      </c>
      <c r="L377">
        <v>2100</v>
      </c>
      <c r="M377" t="s">
        <v>28</v>
      </c>
      <c r="N377">
        <f t="shared" si="20"/>
        <v>40375</v>
      </c>
      <c r="O377">
        <f t="shared" si="21"/>
        <v>29875</v>
      </c>
      <c r="P377">
        <f t="shared" si="22"/>
        <v>2504692.5</v>
      </c>
      <c r="Q377">
        <f t="shared" si="23"/>
        <v>1914622.5</v>
      </c>
    </row>
    <row r="378" spans="1:17">
      <c r="A378" t="s">
        <v>745</v>
      </c>
      <c r="B378" s="1">
        <v>45724</v>
      </c>
      <c r="C378" t="s">
        <v>266</v>
      </c>
      <c r="D378" t="s">
        <v>183</v>
      </c>
      <c r="E378" t="s">
        <v>118</v>
      </c>
      <c r="F378" t="s">
        <v>40</v>
      </c>
      <c r="G378" t="s">
        <v>18</v>
      </c>
      <c r="H378" t="s">
        <v>76</v>
      </c>
      <c r="I378">
        <v>3</v>
      </c>
      <c r="J378">
        <v>850</v>
      </c>
      <c r="K378">
        <v>0</v>
      </c>
      <c r="L378">
        <v>250</v>
      </c>
      <c r="M378" t="s">
        <v>28</v>
      </c>
      <c r="N378">
        <f t="shared" si="20"/>
        <v>2550</v>
      </c>
      <c r="O378">
        <f t="shared" si="21"/>
        <v>1800</v>
      </c>
      <c r="P378">
        <f t="shared" si="22"/>
        <v>2464317.5</v>
      </c>
      <c r="Q378">
        <f t="shared" si="23"/>
        <v>1884747.5</v>
      </c>
    </row>
    <row r="379" spans="1:17">
      <c r="A379" t="s">
        <v>746</v>
      </c>
      <c r="B379" s="1">
        <v>45852</v>
      </c>
      <c r="C379" t="s">
        <v>747</v>
      </c>
      <c r="D379" t="s">
        <v>395</v>
      </c>
      <c r="E379" t="s">
        <v>32</v>
      </c>
      <c r="F379" t="s">
        <v>25</v>
      </c>
      <c r="G379" t="s">
        <v>26</v>
      </c>
      <c r="H379" t="s">
        <v>448</v>
      </c>
      <c r="I379">
        <v>1</v>
      </c>
      <c r="J379">
        <v>6500</v>
      </c>
      <c r="K379">
        <v>0</v>
      </c>
      <c r="L379">
        <v>1600</v>
      </c>
      <c r="M379" t="s">
        <v>28</v>
      </c>
      <c r="N379">
        <f t="shared" si="20"/>
        <v>6500</v>
      </c>
      <c r="O379">
        <f t="shared" si="21"/>
        <v>4900</v>
      </c>
      <c r="P379">
        <f t="shared" si="22"/>
        <v>2461767.5</v>
      </c>
      <c r="Q379">
        <f t="shared" si="23"/>
        <v>1882947.5</v>
      </c>
    </row>
    <row r="380" spans="1:17">
      <c r="A380" t="s">
        <v>748</v>
      </c>
      <c r="B380" s="1">
        <v>45837</v>
      </c>
      <c r="C380" t="s">
        <v>114</v>
      </c>
      <c r="D380" t="s">
        <v>177</v>
      </c>
      <c r="E380" t="s">
        <v>24</v>
      </c>
      <c r="F380" t="s">
        <v>17</v>
      </c>
      <c r="G380" t="s">
        <v>18</v>
      </c>
      <c r="H380" t="s">
        <v>136</v>
      </c>
      <c r="I380">
        <v>1</v>
      </c>
      <c r="J380">
        <v>2800</v>
      </c>
      <c r="K380">
        <v>0</v>
      </c>
      <c r="L380">
        <v>750</v>
      </c>
      <c r="M380" t="s">
        <v>20</v>
      </c>
      <c r="N380">
        <f t="shared" si="20"/>
        <v>2800</v>
      </c>
      <c r="O380">
        <f t="shared" si="21"/>
        <v>2050</v>
      </c>
      <c r="P380">
        <f t="shared" si="22"/>
        <v>2455267.5</v>
      </c>
      <c r="Q380">
        <f t="shared" si="23"/>
        <v>1878047.5</v>
      </c>
    </row>
    <row r="381" spans="1:17">
      <c r="A381" t="s">
        <v>749</v>
      </c>
      <c r="B381" s="1">
        <v>45908</v>
      </c>
      <c r="C381" t="s">
        <v>750</v>
      </c>
      <c r="D381" t="s">
        <v>581</v>
      </c>
      <c r="E381" t="s">
        <v>84</v>
      </c>
      <c r="F381" t="s">
        <v>40</v>
      </c>
      <c r="G381" t="s">
        <v>26</v>
      </c>
      <c r="H381" t="s">
        <v>92</v>
      </c>
      <c r="I381">
        <v>2</v>
      </c>
      <c r="J381">
        <v>15000</v>
      </c>
      <c r="K381">
        <v>0</v>
      </c>
      <c r="L381">
        <v>3500</v>
      </c>
      <c r="M381" t="s">
        <v>28</v>
      </c>
      <c r="N381">
        <f t="shared" si="20"/>
        <v>30000</v>
      </c>
      <c r="O381">
        <f t="shared" si="21"/>
        <v>23000</v>
      </c>
      <c r="P381">
        <f t="shared" si="22"/>
        <v>2452467.5</v>
      </c>
      <c r="Q381">
        <f t="shared" si="23"/>
        <v>1875997.5</v>
      </c>
    </row>
    <row r="382" spans="1:17">
      <c r="A382" t="s">
        <v>751</v>
      </c>
      <c r="B382" s="1">
        <v>45664</v>
      </c>
      <c r="C382" t="s">
        <v>752</v>
      </c>
      <c r="D382" t="s">
        <v>402</v>
      </c>
      <c r="E382" t="s">
        <v>32</v>
      </c>
      <c r="F382" t="s">
        <v>17</v>
      </c>
      <c r="G382" t="s">
        <v>34</v>
      </c>
      <c r="H382" t="s">
        <v>106</v>
      </c>
      <c r="I382">
        <v>3</v>
      </c>
      <c r="J382">
        <v>650</v>
      </c>
      <c r="K382">
        <v>0</v>
      </c>
      <c r="L382">
        <v>200</v>
      </c>
      <c r="M382" t="s">
        <v>20</v>
      </c>
      <c r="N382">
        <f t="shared" si="20"/>
        <v>1950</v>
      </c>
      <c r="O382">
        <f t="shared" si="21"/>
        <v>1350</v>
      </c>
      <c r="P382">
        <f t="shared" si="22"/>
        <v>2422467.5</v>
      </c>
      <c r="Q382">
        <f t="shared" si="23"/>
        <v>1852997.5</v>
      </c>
    </row>
    <row r="383" spans="1:17">
      <c r="A383" t="s">
        <v>753</v>
      </c>
      <c r="B383" s="1">
        <v>45772</v>
      </c>
      <c r="C383" t="s">
        <v>754</v>
      </c>
      <c r="D383" t="s">
        <v>678</v>
      </c>
      <c r="E383" t="s">
        <v>118</v>
      </c>
      <c r="F383" t="s">
        <v>25</v>
      </c>
      <c r="G383" t="s">
        <v>34</v>
      </c>
      <c r="H383" t="s">
        <v>106</v>
      </c>
      <c r="I383">
        <v>2</v>
      </c>
      <c r="J383">
        <v>650</v>
      </c>
      <c r="K383">
        <v>0.05</v>
      </c>
      <c r="L383">
        <v>200</v>
      </c>
      <c r="M383" t="s">
        <v>20</v>
      </c>
      <c r="N383">
        <f t="shared" si="20"/>
        <v>1235</v>
      </c>
      <c r="O383">
        <f t="shared" si="21"/>
        <v>835</v>
      </c>
      <c r="P383">
        <f t="shared" si="22"/>
        <v>2420517.5</v>
      </c>
      <c r="Q383">
        <f t="shared" si="23"/>
        <v>1851647.5</v>
      </c>
    </row>
    <row r="384" spans="1:17">
      <c r="A384" t="s">
        <v>755</v>
      </c>
      <c r="B384" s="1">
        <v>45718</v>
      </c>
      <c r="C384" t="s">
        <v>453</v>
      </c>
      <c r="D384" t="s">
        <v>475</v>
      </c>
      <c r="E384" t="s">
        <v>84</v>
      </c>
      <c r="F384" t="s">
        <v>40</v>
      </c>
      <c r="G384" t="s">
        <v>34</v>
      </c>
      <c r="H384" t="s">
        <v>53</v>
      </c>
      <c r="I384">
        <v>3</v>
      </c>
      <c r="J384">
        <v>950</v>
      </c>
      <c r="K384">
        <v>0.1</v>
      </c>
      <c r="L384">
        <v>300</v>
      </c>
      <c r="M384" t="s">
        <v>48</v>
      </c>
      <c r="N384">
        <f t="shared" si="20"/>
        <v>2565</v>
      </c>
      <c r="O384">
        <f t="shared" si="21"/>
        <v>1665</v>
      </c>
      <c r="P384">
        <f t="shared" si="22"/>
        <v>2419282.5</v>
      </c>
      <c r="Q384">
        <f t="shared" si="23"/>
        <v>1850812.5</v>
      </c>
    </row>
    <row r="385" spans="1:17">
      <c r="A385" t="s">
        <v>756</v>
      </c>
      <c r="B385" s="1">
        <v>46018</v>
      </c>
      <c r="C385" t="s">
        <v>375</v>
      </c>
      <c r="D385" t="s">
        <v>554</v>
      </c>
      <c r="E385" t="s">
        <v>16</v>
      </c>
      <c r="F385" t="s">
        <v>17</v>
      </c>
      <c r="G385" t="s">
        <v>34</v>
      </c>
      <c r="H385" t="s">
        <v>56</v>
      </c>
      <c r="I385">
        <v>3</v>
      </c>
      <c r="J385">
        <v>1800</v>
      </c>
      <c r="K385">
        <v>0</v>
      </c>
      <c r="L385">
        <v>650</v>
      </c>
      <c r="M385" t="s">
        <v>20</v>
      </c>
      <c r="N385">
        <f t="shared" si="20"/>
        <v>5400</v>
      </c>
      <c r="O385">
        <f t="shared" si="21"/>
        <v>3450</v>
      </c>
      <c r="P385">
        <f t="shared" si="22"/>
        <v>2416717.5</v>
      </c>
      <c r="Q385">
        <f t="shared" si="23"/>
        <v>1849147.5</v>
      </c>
    </row>
    <row r="386" spans="1:17">
      <c r="A386" t="s">
        <v>757</v>
      </c>
      <c r="B386" s="1">
        <v>45726</v>
      </c>
      <c r="C386" t="s">
        <v>436</v>
      </c>
      <c r="D386" t="s">
        <v>38</v>
      </c>
      <c r="E386" t="s">
        <v>118</v>
      </c>
      <c r="F386" t="s">
        <v>17</v>
      </c>
      <c r="G386" t="s">
        <v>18</v>
      </c>
      <c r="H386" t="s">
        <v>19</v>
      </c>
      <c r="I386">
        <v>5</v>
      </c>
      <c r="J386">
        <v>1200</v>
      </c>
      <c r="K386">
        <v>0</v>
      </c>
      <c r="L386">
        <v>350</v>
      </c>
      <c r="M386" t="s">
        <v>28</v>
      </c>
      <c r="N386">
        <f t="shared" ref="N386:N449" si="24">I386*J386*(1-K386)</f>
        <v>6000</v>
      </c>
      <c r="O386">
        <f t="shared" ref="O386:O449" si="25">N386-(L386*I386)</f>
        <v>4250</v>
      </c>
      <c r="P386">
        <f t="shared" ref="P386:P449" si="26">SUM(N386:N885)</f>
        <v>2411317.5</v>
      </c>
      <c r="Q386">
        <f t="shared" ref="Q386:Q449" si="27">SUM(O386:O885)</f>
        <v>1845697.5</v>
      </c>
    </row>
    <row r="387" spans="1:17">
      <c r="A387" t="s">
        <v>758</v>
      </c>
      <c r="B387" s="1">
        <v>45734</v>
      </c>
      <c r="C387" t="s">
        <v>413</v>
      </c>
      <c r="D387" t="s">
        <v>304</v>
      </c>
      <c r="E387" t="s">
        <v>52</v>
      </c>
      <c r="F387" t="s">
        <v>33</v>
      </c>
      <c r="G387" t="s">
        <v>26</v>
      </c>
      <c r="H387" t="s">
        <v>159</v>
      </c>
      <c r="I387">
        <v>5</v>
      </c>
      <c r="J387">
        <v>8500</v>
      </c>
      <c r="K387">
        <v>0</v>
      </c>
      <c r="L387">
        <v>2100</v>
      </c>
      <c r="M387" t="s">
        <v>28</v>
      </c>
      <c r="N387">
        <f t="shared" si="24"/>
        <v>42500</v>
      </c>
      <c r="O387">
        <f t="shared" si="25"/>
        <v>32000</v>
      </c>
      <c r="P387">
        <f t="shared" si="26"/>
        <v>2405317.5</v>
      </c>
      <c r="Q387">
        <f t="shared" si="27"/>
        <v>1841447.5</v>
      </c>
    </row>
    <row r="388" spans="1:17">
      <c r="A388" t="s">
        <v>759</v>
      </c>
      <c r="B388" s="1">
        <v>45864</v>
      </c>
      <c r="C388" t="s">
        <v>760</v>
      </c>
      <c r="D388" t="s">
        <v>152</v>
      </c>
      <c r="E388" t="s">
        <v>39</v>
      </c>
      <c r="F388" t="s">
        <v>17</v>
      </c>
      <c r="G388" t="s">
        <v>46</v>
      </c>
      <c r="H388" t="s">
        <v>340</v>
      </c>
      <c r="I388">
        <v>5</v>
      </c>
      <c r="J388">
        <v>1400</v>
      </c>
      <c r="K388">
        <v>0.15</v>
      </c>
      <c r="L388">
        <v>450</v>
      </c>
      <c r="M388" t="s">
        <v>28</v>
      </c>
      <c r="N388">
        <f t="shared" si="24"/>
        <v>5950</v>
      </c>
      <c r="O388">
        <f t="shared" si="25"/>
        <v>3700</v>
      </c>
      <c r="P388">
        <f t="shared" si="26"/>
        <v>2362817.5</v>
      </c>
      <c r="Q388">
        <f t="shared" si="27"/>
        <v>1809447.5</v>
      </c>
    </row>
    <row r="389" spans="1:17">
      <c r="A389" t="s">
        <v>761</v>
      </c>
      <c r="B389" s="1">
        <v>45721</v>
      </c>
      <c r="C389" t="s">
        <v>453</v>
      </c>
      <c r="D389" t="s">
        <v>205</v>
      </c>
      <c r="E389" t="s">
        <v>32</v>
      </c>
      <c r="F389" t="s">
        <v>40</v>
      </c>
      <c r="G389" t="s">
        <v>18</v>
      </c>
      <c r="H389" t="s">
        <v>19</v>
      </c>
      <c r="I389">
        <v>5</v>
      </c>
      <c r="J389">
        <v>1200</v>
      </c>
      <c r="K389">
        <v>0.15</v>
      </c>
      <c r="L389">
        <v>350</v>
      </c>
      <c r="M389" t="s">
        <v>28</v>
      </c>
      <c r="N389">
        <f t="shared" si="24"/>
        <v>5100</v>
      </c>
      <c r="O389">
        <f t="shared" si="25"/>
        <v>3350</v>
      </c>
      <c r="P389">
        <f t="shared" si="26"/>
        <v>2356867.5</v>
      </c>
      <c r="Q389">
        <f t="shared" si="27"/>
        <v>1805747.5</v>
      </c>
    </row>
    <row r="390" spans="1:17">
      <c r="A390" t="s">
        <v>762</v>
      </c>
      <c r="B390" s="1">
        <v>45702</v>
      </c>
      <c r="C390" t="s">
        <v>635</v>
      </c>
      <c r="D390" t="s">
        <v>215</v>
      </c>
      <c r="E390" t="s">
        <v>118</v>
      </c>
      <c r="F390" t="s">
        <v>33</v>
      </c>
      <c r="G390" t="s">
        <v>18</v>
      </c>
      <c r="H390" t="s">
        <v>76</v>
      </c>
      <c r="I390">
        <v>4</v>
      </c>
      <c r="J390">
        <v>850</v>
      </c>
      <c r="K390">
        <v>0.15</v>
      </c>
      <c r="L390">
        <v>250</v>
      </c>
      <c r="M390" t="s">
        <v>20</v>
      </c>
      <c r="N390">
        <f t="shared" si="24"/>
        <v>2890</v>
      </c>
      <c r="O390">
        <f t="shared" si="25"/>
        <v>1890</v>
      </c>
      <c r="P390">
        <f t="shared" si="26"/>
        <v>2351767.5</v>
      </c>
      <c r="Q390">
        <f t="shared" si="27"/>
        <v>1802397.5</v>
      </c>
    </row>
    <row r="391" spans="1:17">
      <c r="A391" t="s">
        <v>763</v>
      </c>
      <c r="B391" s="1">
        <v>45940</v>
      </c>
      <c r="C391" t="s">
        <v>146</v>
      </c>
      <c r="D391" t="s">
        <v>193</v>
      </c>
      <c r="E391" t="s">
        <v>39</v>
      </c>
      <c r="F391" t="s">
        <v>33</v>
      </c>
      <c r="G391" t="s">
        <v>46</v>
      </c>
      <c r="H391" t="s">
        <v>80</v>
      </c>
      <c r="I391">
        <v>4</v>
      </c>
      <c r="J391">
        <v>1900</v>
      </c>
      <c r="K391">
        <v>0.1</v>
      </c>
      <c r="L391">
        <v>600</v>
      </c>
      <c r="M391" t="s">
        <v>28</v>
      </c>
      <c r="N391">
        <f t="shared" si="24"/>
        <v>6840</v>
      </c>
      <c r="O391">
        <f t="shared" si="25"/>
        <v>4440</v>
      </c>
      <c r="P391">
        <f t="shared" si="26"/>
        <v>2348877.5</v>
      </c>
      <c r="Q391">
        <f t="shared" si="27"/>
        <v>1800507.5</v>
      </c>
    </row>
    <row r="392" spans="1:17">
      <c r="A392" t="s">
        <v>764</v>
      </c>
      <c r="B392" s="1">
        <v>45985</v>
      </c>
      <c r="C392" t="s">
        <v>189</v>
      </c>
      <c r="D392" t="s">
        <v>152</v>
      </c>
      <c r="E392" t="s">
        <v>84</v>
      </c>
      <c r="F392" t="s">
        <v>33</v>
      </c>
      <c r="G392" t="s">
        <v>46</v>
      </c>
      <c r="H392" t="s">
        <v>340</v>
      </c>
      <c r="I392">
        <v>4</v>
      </c>
      <c r="J392">
        <v>1400</v>
      </c>
      <c r="K392">
        <v>0.15</v>
      </c>
      <c r="L392">
        <v>450</v>
      </c>
      <c r="M392" t="s">
        <v>20</v>
      </c>
      <c r="N392">
        <f t="shared" si="24"/>
        <v>4760</v>
      </c>
      <c r="O392">
        <f t="shared" si="25"/>
        <v>2960</v>
      </c>
      <c r="P392">
        <f t="shared" si="26"/>
        <v>2342037.5</v>
      </c>
      <c r="Q392">
        <f t="shared" si="27"/>
        <v>1796067.5</v>
      </c>
    </row>
    <row r="393" spans="1:17">
      <c r="A393" t="s">
        <v>765</v>
      </c>
      <c r="B393" s="1">
        <v>45694</v>
      </c>
      <c r="C393" t="s">
        <v>117</v>
      </c>
      <c r="D393" t="s">
        <v>267</v>
      </c>
      <c r="E393" t="s">
        <v>24</v>
      </c>
      <c r="F393" t="s">
        <v>17</v>
      </c>
      <c r="G393" t="s">
        <v>18</v>
      </c>
      <c r="H393" t="s">
        <v>76</v>
      </c>
      <c r="I393">
        <v>1</v>
      </c>
      <c r="J393">
        <v>850</v>
      </c>
      <c r="K393">
        <v>0</v>
      </c>
      <c r="L393">
        <v>250</v>
      </c>
      <c r="M393" t="s">
        <v>20</v>
      </c>
      <c r="N393">
        <f t="shared" si="24"/>
        <v>850</v>
      </c>
      <c r="O393">
        <f t="shared" si="25"/>
        <v>600</v>
      </c>
      <c r="P393">
        <f t="shared" si="26"/>
        <v>2337277.5</v>
      </c>
      <c r="Q393">
        <f t="shared" si="27"/>
        <v>1793107.5</v>
      </c>
    </row>
    <row r="394" spans="1:17">
      <c r="A394" t="s">
        <v>766</v>
      </c>
      <c r="B394" s="1">
        <v>45860</v>
      </c>
      <c r="C394" t="s">
        <v>387</v>
      </c>
      <c r="D394" t="s">
        <v>51</v>
      </c>
      <c r="E394" t="s">
        <v>39</v>
      </c>
      <c r="F394" t="s">
        <v>40</v>
      </c>
      <c r="G394" t="s">
        <v>26</v>
      </c>
      <c r="H394" t="s">
        <v>153</v>
      </c>
      <c r="I394">
        <v>2</v>
      </c>
      <c r="J394">
        <v>4200</v>
      </c>
      <c r="K394">
        <v>0.15</v>
      </c>
      <c r="L394">
        <v>1000</v>
      </c>
      <c r="M394" t="s">
        <v>28</v>
      </c>
      <c r="N394">
        <f t="shared" si="24"/>
        <v>7140</v>
      </c>
      <c r="O394">
        <f t="shared" si="25"/>
        <v>5140</v>
      </c>
      <c r="P394">
        <f t="shared" si="26"/>
        <v>2336427.5</v>
      </c>
      <c r="Q394">
        <f t="shared" si="27"/>
        <v>1792507.5</v>
      </c>
    </row>
    <row r="395" spans="1:17">
      <c r="A395" t="s">
        <v>767</v>
      </c>
      <c r="B395" s="1">
        <v>45745</v>
      </c>
      <c r="C395" t="s">
        <v>348</v>
      </c>
      <c r="D395" t="s">
        <v>378</v>
      </c>
      <c r="E395" t="s">
        <v>52</v>
      </c>
      <c r="F395" t="s">
        <v>17</v>
      </c>
      <c r="G395" t="s">
        <v>18</v>
      </c>
      <c r="H395" t="s">
        <v>136</v>
      </c>
      <c r="I395">
        <v>2</v>
      </c>
      <c r="J395">
        <v>2800</v>
      </c>
      <c r="K395">
        <v>0</v>
      </c>
      <c r="L395">
        <v>750</v>
      </c>
      <c r="M395" t="s">
        <v>20</v>
      </c>
      <c r="N395">
        <f t="shared" si="24"/>
        <v>5600</v>
      </c>
      <c r="O395">
        <f t="shared" si="25"/>
        <v>4100</v>
      </c>
      <c r="P395">
        <f t="shared" si="26"/>
        <v>2329287.5</v>
      </c>
      <c r="Q395">
        <f t="shared" si="27"/>
        <v>1787367.5</v>
      </c>
    </row>
    <row r="396" spans="1:17">
      <c r="A396" t="s">
        <v>768</v>
      </c>
      <c r="B396" s="1">
        <v>45877</v>
      </c>
      <c r="C396" t="s">
        <v>256</v>
      </c>
      <c r="D396" t="s">
        <v>541</v>
      </c>
      <c r="E396" t="s">
        <v>45</v>
      </c>
      <c r="F396" t="s">
        <v>40</v>
      </c>
      <c r="G396" t="s">
        <v>26</v>
      </c>
      <c r="H396" t="s">
        <v>159</v>
      </c>
      <c r="I396">
        <v>4</v>
      </c>
      <c r="J396">
        <v>8500</v>
      </c>
      <c r="K396">
        <v>0</v>
      </c>
      <c r="L396">
        <v>2100</v>
      </c>
      <c r="M396" t="s">
        <v>48</v>
      </c>
      <c r="N396">
        <f t="shared" si="24"/>
        <v>34000</v>
      </c>
      <c r="O396">
        <f t="shared" si="25"/>
        <v>25600</v>
      </c>
      <c r="P396">
        <f t="shared" si="26"/>
        <v>2323687.5</v>
      </c>
      <c r="Q396">
        <f t="shared" si="27"/>
        <v>1783267.5</v>
      </c>
    </row>
    <row r="397" spans="1:17">
      <c r="A397" t="s">
        <v>769</v>
      </c>
      <c r="B397" s="1">
        <v>46008</v>
      </c>
      <c r="C397" t="s">
        <v>707</v>
      </c>
      <c r="D397" t="s">
        <v>79</v>
      </c>
      <c r="E397" t="s">
        <v>24</v>
      </c>
      <c r="F397" t="s">
        <v>25</v>
      </c>
      <c r="G397" t="s">
        <v>46</v>
      </c>
      <c r="H397" t="s">
        <v>340</v>
      </c>
      <c r="I397">
        <v>4</v>
      </c>
      <c r="J397">
        <v>1400</v>
      </c>
      <c r="K397">
        <v>0</v>
      </c>
      <c r="L397">
        <v>450</v>
      </c>
      <c r="M397" t="s">
        <v>20</v>
      </c>
      <c r="N397">
        <f t="shared" si="24"/>
        <v>5600</v>
      </c>
      <c r="O397">
        <f t="shared" si="25"/>
        <v>3800</v>
      </c>
      <c r="P397">
        <f t="shared" si="26"/>
        <v>2289687.5</v>
      </c>
      <c r="Q397">
        <f t="shared" si="27"/>
        <v>1757667.5</v>
      </c>
    </row>
    <row r="398" spans="1:17">
      <c r="A398" t="s">
        <v>770</v>
      </c>
      <c r="B398" s="1">
        <v>46018</v>
      </c>
      <c r="C398" t="s">
        <v>771</v>
      </c>
      <c r="D398" t="s">
        <v>514</v>
      </c>
      <c r="E398" t="s">
        <v>32</v>
      </c>
      <c r="F398" t="s">
        <v>25</v>
      </c>
      <c r="G398" t="s">
        <v>34</v>
      </c>
      <c r="H398" t="s">
        <v>53</v>
      </c>
      <c r="I398">
        <v>5</v>
      </c>
      <c r="J398">
        <v>950</v>
      </c>
      <c r="K398">
        <v>0.1</v>
      </c>
      <c r="L398">
        <v>300</v>
      </c>
      <c r="M398" t="s">
        <v>28</v>
      </c>
      <c r="N398">
        <f t="shared" si="24"/>
        <v>4275</v>
      </c>
      <c r="O398">
        <f t="shared" si="25"/>
        <v>2775</v>
      </c>
      <c r="P398">
        <f t="shared" si="26"/>
        <v>2284087.5</v>
      </c>
      <c r="Q398">
        <f t="shared" si="27"/>
        <v>1753867.5</v>
      </c>
    </row>
    <row r="399" spans="1:17">
      <c r="A399" t="s">
        <v>772</v>
      </c>
      <c r="B399" s="1">
        <v>45739</v>
      </c>
      <c r="C399" t="s">
        <v>278</v>
      </c>
      <c r="D399" t="s">
        <v>773</v>
      </c>
      <c r="E399" t="s">
        <v>24</v>
      </c>
      <c r="F399" t="s">
        <v>40</v>
      </c>
      <c r="G399" t="s">
        <v>46</v>
      </c>
      <c r="H399" t="s">
        <v>47</v>
      </c>
      <c r="I399">
        <v>5</v>
      </c>
      <c r="J399">
        <v>550</v>
      </c>
      <c r="K399">
        <v>0</v>
      </c>
      <c r="L399">
        <v>180</v>
      </c>
      <c r="M399" t="s">
        <v>28</v>
      </c>
      <c r="N399">
        <f t="shared" si="24"/>
        <v>2750</v>
      </c>
      <c r="O399">
        <f t="shared" si="25"/>
        <v>1850</v>
      </c>
      <c r="P399">
        <f t="shared" si="26"/>
        <v>2279812.5</v>
      </c>
      <c r="Q399">
        <f t="shared" si="27"/>
        <v>1751092.5</v>
      </c>
    </row>
    <row r="400" spans="1:17">
      <c r="A400" t="s">
        <v>774</v>
      </c>
      <c r="B400" s="1">
        <v>45845</v>
      </c>
      <c r="C400" t="s">
        <v>477</v>
      </c>
      <c r="D400" t="s">
        <v>504</v>
      </c>
      <c r="E400" t="s">
        <v>32</v>
      </c>
      <c r="F400" t="s">
        <v>33</v>
      </c>
      <c r="G400" t="s">
        <v>46</v>
      </c>
      <c r="H400" t="s">
        <v>47</v>
      </c>
      <c r="I400">
        <v>5</v>
      </c>
      <c r="J400">
        <v>550</v>
      </c>
      <c r="K400">
        <v>0.15</v>
      </c>
      <c r="L400">
        <v>180</v>
      </c>
      <c r="M400" t="s">
        <v>28</v>
      </c>
      <c r="N400">
        <f t="shared" si="24"/>
        <v>2337.5</v>
      </c>
      <c r="O400">
        <f t="shared" si="25"/>
        <v>1437.5</v>
      </c>
      <c r="P400">
        <f t="shared" si="26"/>
        <v>2277062.5</v>
      </c>
      <c r="Q400">
        <f t="shared" si="27"/>
        <v>1749242.5</v>
      </c>
    </row>
    <row r="401" spans="1:17">
      <c r="A401" t="s">
        <v>775</v>
      </c>
      <c r="B401" s="1">
        <v>45923</v>
      </c>
      <c r="C401" t="s">
        <v>98</v>
      </c>
      <c r="D401" t="s">
        <v>616</v>
      </c>
      <c r="E401" t="s">
        <v>32</v>
      </c>
      <c r="F401" t="s">
        <v>25</v>
      </c>
      <c r="G401" t="s">
        <v>18</v>
      </c>
      <c r="H401" t="s">
        <v>19</v>
      </c>
      <c r="I401">
        <v>4</v>
      </c>
      <c r="J401">
        <v>1200</v>
      </c>
      <c r="K401">
        <v>0</v>
      </c>
      <c r="L401">
        <v>350</v>
      </c>
      <c r="M401" t="s">
        <v>28</v>
      </c>
      <c r="N401">
        <f t="shared" si="24"/>
        <v>4800</v>
      </c>
      <c r="O401">
        <f t="shared" si="25"/>
        <v>3400</v>
      </c>
      <c r="P401">
        <f t="shared" si="26"/>
        <v>2274725</v>
      </c>
      <c r="Q401">
        <f t="shared" si="27"/>
        <v>1747805</v>
      </c>
    </row>
    <row r="402" spans="1:17">
      <c r="A402" t="s">
        <v>776</v>
      </c>
      <c r="B402" s="1">
        <v>45895</v>
      </c>
      <c r="C402" t="s">
        <v>387</v>
      </c>
      <c r="D402" t="s">
        <v>608</v>
      </c>
      <c r="E402" t="s">
        <v>24</v>
      </c>
      <c r="F402" t="s">
        <v>33</v>
      </c>
      <c r="G402" t="s">
        <v>18</v>
      </c>
      <c r="H402" t="s">
        <v>76</v>
      </c>
      <c r="I402">
        <v>1</v>
      </c>
      <c r="J402">
        <v>850</v>
      </c>
      <c r="K402">
        <v>0.05</v>
      </c>
      <c r="L402">
        <v>250</v>
      </c>
      <c r="M402" t="s">
        <v>20</v>
      </c>
      <c r="N402">
        <f t="shared" si="24"/>
        <v>807.5</v>
      </c>
      <c r="O402">
        <f t="shared" si="25"/>
        <v>557.5</v>
      </c>
      <c r="P402">
        <f t="shared" si="26"/>
        <v>2269925</v>
      </c>
      <c r="Q402">
        <f t="shared" si="27"/>
        <v>1744405</v>
      </c>
    </row>
    <row r="403" spans="1:17">
      <c r="A403" t="s">
        <v>777</v>
      </c>
      <c r="B403" s="1">
        <v>45724</v>
      </c>
      <c r="C403" t="s">
        <v>601</v>
      </c>
      <c r="D403" t="s">
        <v>177</v>
      </c>
      <c r="E403" t="s">
        <v>16</v>
      </c>
      <c r="F403" t="s">
        <v>17</v>
      </c>
      <c r="G403" t="s">
        <v>18</v>
      </c>
      <c r="H403" t="s">
        <v>136</v>
      </c>
      <c r="I403">
        <v>1</v>
      </c>
      <c r="J403">
        <v>2800</v>
      </c>
      <c r="K403">
        <v>0.05</v>
      </c>
      <c r="L403">
        <v>750</v>
      </c>
      <c r="M403" t="s">
        <v>28</v>
      </c>
      <c r="N403">
        <f t="shared" si="24"/>
        <v>2660</v>
      </c>
      <c r="O403">
        <f t="shared" si="25"/>
        <v>1910</v>
      </c>
      <c r="P403">
        <f t="shared" si="26"/>
        <v>2269117.5</v>
      </c>
      <c r="Q403">
        <f t="shared" si="27"/>
        <v>1743847.5</v>
      </c>
    </row>
    <row r="404" spans="1:17">
      <c r="A404" t="s">
        <v>778</v>
      </c>
      <c r="B404" s="1">
        <v>45853</v>
      </c>
      <c r="C404" t="s">
        <v>779</v>
      </c>
      <c r="D404" t="s">
        <v>190</v>
      </c>
      <c r="E404" t="s">
        <v>32</v>
      </c>
      <c r="F404" t="s">
        <v>17</v>
      </c>
      <c r="G404" t="s">
        <v>26</v>
      </c>
      <c r="H404" t="s">
        <v>153</v>
      </c>
      <c r="I404">
        <v>4</v>
      </c>
      <c r="J404">
        <v>4200</v>
      </c>
      <c r="K404">
        <v>0</v>
      </c>
      <c r="L404">
        <v>1000</v>
      </c>
      <c r="M404" t="s">
        <v>20</v>
      </c>
      <c r="N404">
        <f t="shared" si="24"/>
        <v>16800</v>
      </c>
      <c r="O404">
        <f t="shared" si="25"/>
        <v>12800</v>
      </c>
      <c r="P404">
        <f t="shared" si="26"/>
        <v>2266457.5</v>
      </c>
      <c r="Q404">
        <f t="shared" si="27"/>
        <v>1741937.5</v>
      </c>
    </row>
    <row r="405" spans="1:17">
      <c r="A405" t="s">
        <v>780</v>
      </c>
      <c r="B405" s="1">
        <v>45845</v>
      </c>
      <c r="C405" t="s">
        <v>781</v>
      </c>
      <c r="D405" t="s">
        <v>327</v>
      </c>
      <c r="E405" t="s">
        <v>52</v>
      </c>
      <c r="F405" t="s">
        <v>25</v>
      </c>
      <c r="G405" t="s">
        <v>26</v>
      </c>
      <c r="H405" t="s">
        <v>153</v>
      </c>
      <c r="I405">
        <v>4</v>
      </c>
      <c r="J405">
        <v>4200</v>
      </c>
      <c r="K405">
        <v>0</v>
      </c>
      <c r="L405">
        <v>1000</v>
      </c>
      <c r="M405" t="s">
        <v>28</v>
      </c>
      <c r="N405">
        <f t="shared" si="24"/>
        <v>16800</v>
      </c>
      <c r="O405">
        <f t="shared" si="25"/>
        <v>12800</v>
      </c>
      <c r="P405">
        <f t="shared" si="26"/>
        <v>2249657.5</v>
      </c>
      <c r="Q405">
        <f t="shared" si="27"/>
        <v>1729137.5</v>
      </c>
    </row>
    <row r="406" spans="1:17">
      <c r="A406" t="s">
        <v>782</v>
      </c>
      <c r="B406" s="1">
        <v>45787</v>
      </c>
      <c r="C406" t="s">
        <v>494</v>
      </c>
      <c r="D406" t="s">
        <v>466</v>
      </c>
      <c r="E406" t="s">
        <v>52</v>
      </c>
      <c r="F406" t="s">
        <v>17</v>
      </c>
      <c r="G406" t="s">
        <v>34</v>
      </c>
      <c r="H406" t="s">
        <v>53</v>
      </c>
      <c r="I406">
        <v>5</v>
      </c>
      <c r="J406">
        <v>950</v>
      </c>
      <c r="K406">
        <v>0.05</v>
      </c>
      <c r="L406">
        <v>300</v>
      </c>
      <c r="M406" t="s">
        <v>28</v>
      </c>
      <c r="N406">
        <f t="shared" si="24"/>
        <v>4512.5</v>
      </c>
      <c r="O406">
        <f t="shared" si="25"/>
        <v>3012.5</v>
      </c>
      <c r="P406">
        <f t="shared" si="26"/>
        <v>2232857.5</v>
      </c>
      <c r="Q406">
        <f t="shared" si="27"/>
        <v>1716337.5</v>
      </c>
    </row>
    <row r="407" spans="1:17">
      <c r="A407" t="s">
        <v>783</v>
      </c>
      <c r="B407" s="1">
        <v>45779</v>
      </c>
      <c r="C407" t="s">
        <v>784</v>
      </c>
      <c r="D407" t="s">
        <v>650</v>
      </c>
      <c r="E407" t="s">
        <v>52</v>
      </c>
      <c r="F407" t="s">
        <v>40</v>
      </c>
      <c r="G407" t="s">
        <v>34</v>
      </c>
      <c r="H407" t="s">
        <v>56</v>
      </c>
      <c r="I407">
        <v>1</v>
      </c>
      <c r="J407">
        <v>1800</v>
      </c>
      <c r="K407">
        <v>0.15</v>
      </c>
      <c r="L407">
        <v>650</v>
      </c>
      <c r="M407" t="s">
        <v>48</v>
      </c>
      <c r="N407">
        <f t="shared" si="24"/>
        <v>1530</v>
      </c>
      <c r="O407">
        <f t="shared" si="25"/>
        <v>880</v>
      </c>
      <c r="P407">
        <f t="shared" si="26"/>
        <v>2228345</v>
      </c>
      <c r="Q407">
        <f t="shared" si="27"/>
        <v>1713325</v>
      </c>
    </row>
    <row r="408" spans="1:17">
      <c r="A408" t="s">
        <v>785</v>
      </c>
      <c r="B408" s="1">
        <v>45670</v>
      </c>
      <c r="C408" t="s">
        <v>75</v>
      </c>
      <c r="D408" t="s">
        <v>376</v>
      </c>
      <c r="E408" t="s">
        <v>84</v>
      </c>
      <c r="F408" t="s">
        <v>17</v>
      </c>
      <c r="G408" t="s">
        <v>26</v>
      </c>
      <c r="H408" t="s">
        <v>159</v>
      </c>
      <c r="I408">
        <v>5</v>
      </c>
      <c r="J408">
        <v>8500</v>
      </c>
      <c r="K408">
        <v>0.1</v>
      </c>
      <c r="L408">
        <v>2100</v>
      </c>
      <c r="M408" t="s">
        <v>48</v>
      </c>
      <c r="N408">
        <f t="shared" si="24"/>
        <v>38250</v>
      </c>
      <c r="O408">
        <f t="shared" si="25"/>
        <v>27750</v>
      </c>
      <c r="P408">
        <f t="shared" si="26"/>
        <v>2226815</v>
      </c>
      <c r="Q408">
        <f t="shared" si="27"/>
        <v>1712445</v>
      </c>
    </row>
    <row r="409" spans="1:17">
      <c r="A409" t="s">
        <v>786</v>
      </c>
      <c r="B409" s="1">
        <v>45935</v>
      </c>
      <c r="C409" t="s">
        <v>68</v>
      </c>
      <c r="D409" t="s">
        <v>152</v>
      </c>
      <c r="E409" t="s">
        <v>45</v>
      </c>
      <c r="F409" t="s">
        <v>33</v>
      </c>
      <c r="G409" t="s">
        <v>18</v>
      </c>
      <c r="H409" t="s">
        <v>76</v>
      </c>
      <c r="I409">
        <v>5</v>
      </c>
      <c r="J409">
        <v>850</v>
      </c>
      <c r="K409">
        <v>0.15</v>
      </c>
      <c r="L409">
        <v>250</v>
      </c>
      <c r="M409" t="s">
        <v>28</v>
      </c>
      <c r="N409">
        <f t="shared" si="24"/>
        <v>3612.5</v>
      </c>
      <c r="O409">
        <f t="shared" si="25"/>
        <v>2362.5</v>
      </c>
      <c r="P409">
        <f t="shared" si="26"/>
        <v>2188565</v>
      </c>
      <c r="Q409">
        <f t="shared" si="27"/>
        <v>1684695</v>
      </c>
    </row>
    <row r="410" spans="1:17">
      <c r="A410" t="s">
        <v>787</v>
      </c>
      <c r="B410" s="1">
        <v>45818</v>
      </c>
      <c r="C410" t="s">
        <v>389</v>
      </c>
      <c r="D410" t="s">
        <v>292</v>
      </c>
      <c r="E410" t="s">
        <v>84</v>
      </c>
      <c r="F410" t="s">
        <v>33</v>
      </c>
      <c r="G410" t="s">
        <v>34</v>
      </c>
      <c r="H410" t="s">
        <v>56</v>
      </c>
      <c r="I410">
        <v>4</v>
      </c>
      <c r="J410">
        <v>1800</v>
      </c>
      <c r="K410">
        <v>0.05</v>
      </c>
      <c r="L410">
        <v>650</v>
      </c>
      <c r="M410" t="s">
        <v>48</v>
      </c>
      <c r="N410">
        <f t="shared" si="24"/>
        <v>6840</v>
      </c>
      <c r="O410">
        <f t="shared" si="25"/>
        <v>4240</v>
      </c>
      <c r="P410">
        <f t="shared" si="26"/>
        <v>2184952.5</v>
      </c>
      <c r="Q410">
        <f t="shared" si="27"/>
        <v>1682332.5</v>
      </c>
    </row>
    <row r="411" spans="1:17">
      <c r="A411" t="s">
        <v>788</v>
      </c>
      <c r="B411" s="1">
        <v>45873</v>
      </c>
      <c r="C411" t="s">
        <v>192</v>
      </c>
      <c r="D411" t="s">
        <v>451</v>
      </c>
      <c r="E411" t="s">
        <v>45</v>
      </c>
      <c r="F411" t="s">
        <v>25</v>
      </c>
      <c r="G411" t="s">
        <v>18</v>
      </c>
      <c r="H411" t="s">
        <v>85</v>
      </c>
      <c r="I411">
        <v>3</v>
      </c>
      <c r="J411">
        <v>350</v>
      </c>
      <c r="K411">
        <v>0.15</v>
      </c>
      <c r="L411">
        <v>100</v>
      </c>
      <c r="M411" t="s">
        <v>28</v>
      </c>
      <c r="N411">
        <f t="shared" si="24"/>
        <v>892.5</v>
      </c>
      <c r="O411">
        <f t="shared" si="25"/>
        <v>592.5</v>
      </c>
      <c r="P411">
        <f t="shared" si="26"/>
        <v>2178112.5</v>
      </c>
      <c r="Q411">
        <f t="shared" si="27"/>
        <v>1678092.5</v>
      </c>
    </row>
    <row r="412" spans="1:17">
      <c r="A412" t="s">
        <v>789</v>
      </c>
      <c r="B412" s="1">
        <v>45847</v>
      </c>
      <c r="C412" t="s">
        <v>312</v>
      </c>
      <c r="D412" t="s">
        <v>678</v>
      </c>
      <c r="E412" t="s">
        <v>32</v>
      </c>
      <c r="F412" t="s">
        <v>33</v>
      </c>
      <c r="G412" t="s">
        <v>34</v>
      </c>
      <c r="H412" t="s">
        <v>56</v>
      </c>
      <c r="I412">
        <v>4</v>
      </c>
      <c r="J412">
        <v>1800</v>
      </c>
      <c r="K412">
        <v>0</v>
      </c>
      <c r="L412">
        <v>650</v>
      </c>
      <c r="M412" t="s">
        <v>20</v>
      </c>
      <c r="N412">
        <f t="shared" si="24"/>
        <v>7200</v>
      </c>
      <c r="O412">
        <f t="shared" si="25"/>
        <v>4600</v>
      </c>
      <c r="P412">
        <f t="shared" si="26"/>
        <v>2177220</v>
      </c>
      <c r="Q412">
        <f t="shared" si="27"/>
        <v>1677500</v>
      </c>
    </row>
    <row r="413" spans="1:17">
      <c r="A413" t="s">
        <v>790</v>
      </c>
      <c r="B413" s="1">
        <v>45741</v>
      </c>
      <c r="C413" t="s">
        <v>784</v>
      </c>
      <c r="D413" t="s">
        <v>223</v>
      </c>
      <c r="E413" t="s">
        <v>39</v>
      </c>
      <c r="F413" t="s">
        <v>40</v>
      </c>
      <c r="G413" t="s">
        <v>34</v>
      </c>
      <c r="H413" t="s">
        <v>106</v>
      </c>
      <c r="I413">
        <v>1</v>
      </c>
      <c r="J413">
        <v>650</v>
      </c>
      <c r="K413">
        <v>0.05</v>
      </c>
      <c r="L413">
        <v>200</v>
      </c>
      <c r="M413" t="s">
        <v>28</v>
      </c>
      <c r="N413">
        <f t="shared" si="24"/>
        <v>617.5</v>
      </c>
      <c r="O413">
        <f t="shared" si="25"/>
        <v>417.5</v>
      </c>
      <c r="P413">
        <f t="shared" si="26"/>
        <v>2170020</v>
      </c>
      <c r="Q413">
        <f t="shared" si="27"/>
        <v>1672900</v>
      </c>
    </row>
    <row r="414" spans="1:17">
      <c r="A414" t="s">
        <v>791</v>
      </c>
      <c r="B414" s="1">
        <v>45980</v>
      </c>
      <c r="C414" t="s">
        <v>538</v>
      </c>
      <c r="D414" t="s">
        <v>208</v>
      </c>
      <c r="E414" t="s">
        <v>118</v>
      </c>
      <c r="F414" t="s">
        <v>17</v>
      </c>
      <c r="G414" t="s">
        <v>26</v>
      </c>
      <c r="H414" t="s">
        <v>27</v>
      </c>
      <c r="I414">
        <v>2</v>
      </c>
      <c r="J414">
        <v>22000</v>
      </c>
      <c r="K414">
        <v>0.05</v>
      </c>
      <c r="L414">
        <v>5000</v>
      </c>
      <c r="M414" t="s">
        <v>48</v>
      </c>
      <c r="N414">
        <f t="shared" si="24"/>
        <v>41800</v>
      </c>
      <c r="O414">
        <f t="shared" si="25"/>
        <v>31800</v>
      </c>
      <c r="P414">
        <f t="shared" si="26"/>
        <v>2169402.5</v>
      </c>
      <c r="Q414">
        <f t="shared" si="27"/>
        <v>1672482.5</v>
      </c>
    </row>
    <row r="415" spans="1:17">
      <c r="A415" t="s">
        <v>792</v>
      </c>
      <c r="B415" s="1">
        <v>45885</v>
      </c>
      <c r="C415" t="s">
        <v>701</v>
      </c>
      <c r="D415" t="s">
        <v>462</v>
      </c>
      <c r="E415" t="s">
        <v>24</v>
      </c>
      <c r="F415" t="s">
        <v>17</v>
      </c>
      <c r="G415" t="s">
        <v>46</v>
      </c>
      <c r="H415" t="s">
        <v>80</v>
      </c>
      <c r="I415">
        <v>5</v>
      </c>
      <c r="J415">
        <v>1900</v>
      </c>
      <c r="K415">
        <v>0</v>
      </c>
      <c r="L415">
        <v>600</v>
      </c>
      <c r="M415" t="s">
        <v>48</v>
      </c>
      <c r="N415">
        <f t="shared" si="24"/>
        <v>9500</v>
      </c>
      <c r="O415">
        <f t="shared" si="25"/>
        <v>6500</v>
      </c>
      <c r="P415">
        <f t="shared" si="26"/>
        <v>2127602.5</v>
      </c>
      <c r="Q415">
        <f t="shared" si="27"/>
        <v>1640682.5</v>
      </c>
    </row>
    <row r="416" spans="1:17">
      <c r="A416" t="s">
        <v>793</v>
      </c>
      <c r="B416" s="1">
        <v>45662</v>
      </c>
      <c r="C416" t="s">
        <v>323</v>
      </c>
      <c r="D416" t="s">
        <v>63</v>
      </c>
      <c r="E416" t="s">
        <v>52</v>
      </c>
      <c r="F416" t="s">
        <v>17</v>
      </c>
      <c r="G416" t="s">
        <v>18</v>
      </c>
      <c r="H416" t="s">
        <v>70</v>
      </c>
      <c r="I416">
        <v>3</v>
      </c>
      <c r="J416">
        <v>2400</v>
      </c>
      <c r="K416">
        <v>0.05</v>
      </c>
      <c r="L416">
        <v>650</v>
      </c>
      <c r="M416" t="s">
        <v>20</v>
      </c>
      <c r="N416">
        <f t="shared" si="24"/>
        <v>6840</v>
      </c>
      <c r="O416">
        <f t="shared" si="25"/>
        <v>4890</v>
      </c>
      <c r="P416">
        <f t="shared" si="26"/>
        <v>2118102.5</v>
      </c>
      <c r="Q416">
        <f t="shared" si="27"/>
        <v>1634182.5</v>
      </c>
    </row>
    <row r="417" spans="1:17">
      <c r="A417" t="s">
        <v>794</v>
      </c>
      <c r="B417" s="1">
        <v>45785</v>
      </c>
      <c r="C417" t="s">
        <v>192</v>
      </c>
      <c r="D417" t="s">
        <v>353</v>
      </c>
      <c r="E417" t="s">
        <v>39</v>
      </c>
      <c r="F417" t="s">
        <v>40</v>
      </c>
      <c r="G417" t="s">
        <v>26</v>
      </c>
      <c r="H417" t="s">
        <v>153</v>
      </c>
      <c r="I417">
        <v>4</v>
      </c>
      <c r="J417">
        <v>4200</v>
      </c>
      <c r="K417">
        <v>0</v>
      </c>
      <c r="L417">
        <v>1000</v>
      </c>
      <c r="M417" t="s">
        <v>28</v>
      </c>
      <c r="N417">
        <f t="shared" si="24"/>
        <v>16800</v>
      </c>
      <c r="O417">
        <f t="shared" si="25"/>
        <v>12800</v>
      </c>
      <c r="P417">
        <f t="shared" si="26"/>
        <v>2111262.5</v>
      </c>
      <c r="Q417">
        <f t="shared" si="27"/>
        <v>1629292.5</v>
      </c>
    </row>
    <row r="418" spans="1:17">
      <c r="A418" t="s">
        <v>795</v>
      </c>
      <c r="B418" s="1">
        <v>45718</v>
      </c>
      <c r="C418" t="s">
        <v>703</v>
      </c>
      <c r="D418" t="s">
        <v>353</v>
      </c>
      <c r="E418" t="s">
        <v>84</v>
      </c>
      <c r="F418" t="s">
        <v>33</v>
      </c>
      <c r="G418" t="s">
        <v>26</v>
      </c>
      <c r="H418" t="s">
        <v>448</v>
      </c>
      <c r="I418">
        <v>3</v>
      </c>
      <c r="J418">
        <v>6500</v>
      </c>
      <c r="K418">
        <v>0.05</v>
      </c>
      <c r="L418">
        <v>1600</v>
      </c>
      <c r="M418" t="s">
        <v>20</v>
      </c>
      <c r="N418">
        <f t="shared" si="24"/>
        <v>18525</v>
      </c>
      <c r="O418">
        <f t="shared" si="25"/>
        <v>13725</v>
      </c>
      <c r="P418">
        <f t="shared" si="26"/>
        <v>2094462.5</v>
      </c>
      <c r="Q418">
        <f t="shared" si="27"/>
        <v>1616492.5</v>
      </c>
    </row>
    <row r="419" spans="1:17">
      <c r="A419" t="s">
        <v>796</v>
      </c>
      <c r="B419" s="1">
        <v>45999</v>
      </c>
      <c r="C419" t="s">
        <v>256</v>
      </c>
      <c r="D419" t="s">
        <v>797</v>
      </c>
      <c r="E419" t="s">
        <v>39</v>
      </c>
      <c r="F419" t="s">
        <v>33</v>
      </c>
      <c r="G419" t="s">
        <v>34</v>
      </c>
      <c r="H419" t="s">
        <v>106</v>
      </c>
      <c r="I419">
        <v>5</v>
      </c>
      <c r="J419">
        <v>650</v>
      </c>
      <c r="K419">
        <v>0</v>
      </c>
      <c r="L419">
        <v>200</v>
      </c>
      <c r="M419" t="s">
        <v>28</v>
      </c>
      <c r="N419">
        <f t="shared" si="24"/>
        <v>3250</v>
      </c>
      <c r="O419">
        <f t="shared" si="25"/>
        <v>2250</v>
      </c>
      <c r="P419">
        <f t="shared" si="26"/>
        <v>2075937.5</v>
      </c>
      <c r="Q419">
        <f t="shared" si="27"/>
        <v>1602767.5</v>
      </c>
    </row>
    <row r="420" spans="1:17">
      <c r="A420" t="s">
        <v>798</v>
      </c>
      <c r="B420" s="1">
        <v>45862</v>
      </c>
      <c r="C420" t="s">
        <v>114</v>
      </c>
      <c r="D420" t="s">
        <v>211</v>
      </c>
      <c r="E420" t="s">
        <v>16</v>
      </c>
      <c r="F420" t="s">
        <v>33</v>
      </c>
      <c r="G420" t="s">
        <v>26</v>
      </c>
      <c r="H420" t="s">
        <v>159</v>
      </c>
      <c r="I420">
        <v>3</v>
      </c>
      <c r="J420">
        <v>8500</v>
      </c>
      <c r="K420">
        <v>0.05</v>
      </c>
      <c r="L420">
        <v>2100</v>
      </c>
      <c r="M420" t="s">
        <v>20</v>
      </c>
      <c r="N420">
        <f t="shared" si="24"/>
        <v>24225</v>
      </c>
      <c r="O420">
        <f t="shared" si="25"/>
        <v>17925</v>
      </c>
      <c r="P420">
        <f t="shared" si="26"/>
        <v>2072687.5</v>
      </c>
      <c r="Q420">
        <f t="shared" si="27"/>
        <v>1600517.5</v>
      </c>
    </row>
    <row r="421" spans="1:17">
      <c r="A421" t="s">
        <v>799</v>
      </c>
      <c r="B421" s="1">
        <v>45898</v>
      </c>
      <c r="C421" t="s">
        <v>50</v>
      </c>
      <c r="D421" t="s">
        <v>229</v>
      </c>
      <c r="E421" t="s">
        <v>39</v>
      </c>
      <c r="F421" t="s">
        <v>25</v>
      </c>
      <c r="G421" t="s">
        <v>26</v>
      </c>
      <c r="H421" t="s">
        <v>448</v>
      </c>
      <c r="I421">
        <v>1</v>
      </c>
      <c r="J421">
        <v>6500</v>
      </c>
      <c r="K421">
        <v>0</v>
      </c>
      <c r="L421">
        <v>1600</v>
      </c>
      <c r="M421" t="s">
        <v>48</v>
      </c>
      <c r="N421">
        <f t="shared" si="24"/>
        <v>6500</v>
      </c>
      <c r="O421">
        <f t="shared" si="25"/>
        <v>4900</v>
      </c>
      <c r="P421">
        <f t="shared" si="26"/>
        <v>2048462.5</v>
      </c>
      <c r="Q421">
        <f t="shared" si="27"/>
        <v>1582592.5</v>
      </c>
    </row>
    <row r="422" spans="1:17">
      <c r="A422" t="s">
        <v>800</v>
      </c>
      <c r="B422" s="1">
        <v>45751</v>
      </c>
      <c r="C422" t="s">
        <v>329</v>
      </c>
      <c r="D422" t="s">
        <v>619</v>
      </c>
      <c r="E422" t="s">
        <v>16</v>
      </c>
      <c r="F422" t="s">
        <v>33</v>
      </c>
      <c r="G422" t="s">
        <v>34</v>
      </c>
      <c r="H422" t="s">
        <v>41</v>
      </c>
      <c r="I422">
        <v>2</v>
      </c>
      <c r="J422">
        <v>52000</v>
      </c>
      <c r="K422">
        <v>0.05</v>
      </c>
      <c r="L422">
        <v>9000</v>
      </c>
      <c r="M422" t="s">
        <v>20</v>
      </c>
      <c r="N422">
        <f t="shared" si="24"/>
        <v>98800</v>
      </c>
      <c r="O422">
        <f t="shared" si="25"/>
        <v>80800</v>
      </c>
      <c r="P422">
        <f t="shared" si="26"/>
        <v>2041962.5</v>
      </c>
      <c r="Q422">
        <f t="shared" si="27"/>
        <v>1577692.5</v>
      </c>
    </row>
    <row r="423" spans="1:17">
      <c r="A423" t="s">
        <v>801</v>
      </c>
      <c r="B423" s="1">
        <v>45853</v>
      </c>
      <c r="C423" t="s">
        <v>802</v>
      </c>
      <c r="D423" t="s">
        <v>638</v>
      </c>
      <c r="E423" t="s">
        <v>118</v>
      </c>
      <c r="F423" t="s">
        <v>25</v>
      </c>
      <c r="G423" t="s">
        <v>34</v>
      </c>
      <c r="H423" t="s">
        <v>41</v>
      </c>
      <c r="I423">
        <v>1</v>
      </c>
      <c r="J423">
        <v>52000</v>
      </c>
      <c r="K423">
        <v>0</v>
      </c>
      <c r="L423">
        <v>9000</v>
      </c>
      <c r="M423" t="s">
        <v>20</v>
      </c>
      <c r="N423">
        <f t="shared" si="24"/>
        <v>52000</v>
      </c>
      <c r="O423">
        <f t="shared" si="25"/>
        <v>43000</v>
      </c>
      <c r="P423">
        <f t="shared" si="26"/>
        <v>1943162.5</v>
      </c>
      <c r="Q423">
        <f t="shared" si="27"/>
        <v>1496892.5</v>
      </c>
    </row>
    <row r="424" spans="1:17">
      <c r="A424" t="s">
        <v>803</v>
      </c>
      <c r="B424" s="1">
        <v>45770</v>
      </c>
      <c r="C424" t="s">
        <v>375</v>
      </c>
      <c r="D424" t="s">
        <v>705</v>
      </c>
      <c r="E424" t="s">
        <v>45</v>
      </c>
      <c r="F424" t="s">
        <v>40</v>
      </c>
      <c r="G424" t="s">
        <v>26</v>
      </c>
      <c r="H424" t="s">
        <v>153</v>
      </c>
      <c r="I424">
        <v>4</v>
      </c>
      <c r="J424">
        <v>4200</v>
      </c>
      <c r="K424">
        <v>0</v>
      </c>
      <c r="L424">
        <v>1000</v>
      </c>
      <c r="M424" t="s">
        <v>28</v>
      </c>
      <c r="N424">
        <f t="shared" si="24"/>
        <v>16800</v>
      </c>
      <c r="O424">
        <f t="shared" si="25"/>
        <v>12800</v>
      </c>
      <c r="P424">
        <f t="shared" si="26"/>
        <v>1891162.5</v>
      </c>
      <c r="Q424">
        <f t="shared" si="27"/>
        <v>1453892.5</v>
      </c>
    </row>
    <row r="425" spans="1:17">
      <c r="A425" t="s">
        <v>804</v>
      </c>
      <c r="B425" s="1">
        <v>45943</v>
      </c>
      <c r="C425" t="s">
        <v>131</v>
      </c>
      <c r="D425" t="s">
        <v>79</v>
      </c>
      <c r="E425" t="s">
        <v>16</v>
      </c>
      <c r="F425" t="s">
        <v>25</v>
      </c>
      <c r="G425" t="s">
        <v>26</v>
      </c>
      <c r="H425" t="s">
        <v>159</v>
      </c>
      <c r="I425">
        <v>5</v>
      </c>
      <c r="J425">
        <v>8500</v>
      </c>
      <c r="K425">
        <v>0.05</v>
      </c>
      <c r="L425">
        <v>2100</v>
      </c>
      <c r="M425" t="s">
        <v>28</v>
      </c>
      <c r="N425">
        <f t="shared" si="24"/>
        <v>40375</v>
      </c>
      <c r="O425">
        <f t="shared" si="25"/>
        <v>29875</v>
      </c>
      <c r="P425">
        <f t="shared" si="26"/>
        <v>1874362.5</v>
      </c>
      <c r="Q425">
        <f t="shared" si="27"/>
        <v>1441092.5</v>
      </c>
    </row>
    <row r="426" spans="1:17">
      <c r="A426" t="s">
        <v>805</v>
      </c>
      <c r="B426" s="1">
        <v>45900</v>
      </c>
      <c r="C426" t="s">
        <v>533</v>
      </c>
      <c r="D426" t="s">
        <v>321</v>
      </c>
      <c r="E426" t="s">
        <v>16</v>
      </c>
      <c r="F426" t="s">
        <v>17</v>
      </c>
      <c r="G426" t="s">
        <v>18</v>
      </c>
      <c r="H426" t="s">
        <v>76</v>
      </c>
      <c r="I426">
        <v>5</v>
      </c>
      <c r="J426">
        <v>850</v>
      </c>
      <c r="K426">
        <v>0</v>
      </c>
      <c r="L426">
        <v>250</v>
      </c>
      <c r="M426" t="s">
        <v>48</v>
      </c>
      <c r="N426">
        <f t="shared" si="24"/>
        <v>4250</v>
      </c>
      <c r="O426">
        <f t="shared" si="25"/>
        <v>3000</v>
      </c>
      <c r="P426">
        <f t="shared" si="26"/>
        <v>1833987.5</v>
      </c>
      <c r="Q426">
        <f t="shared" si="27"/>
        <v>1411217.5</v>
      </c>
    </row>
    <row r="427" spans="1:17">
      <c r="A427" t="s">
        <v>806</v>
      </c>
      <c r="B427" s="1">
        <v>45803</v>
      </c>
      <c r="C427" t="s">
        <v>443</v>
      </c>
      <c r="D427" t="s">
        <v>807</v>
      </c>
      <c r="E427" t="s">
        <v>84</v>
      </c>
      <c r="F427" t="s">
        <v>25</v>
      </c>
      <c r="G427" t="s">
        <v>34</v>
      </c>
      <c r="H427" t="s">
        <v>106</v>
      </c>
      <c r="I427">
        <v>2</v>
      </c>
      <c r="J427">
        <v>650</v>
      </c>
      <c r="K427">
        <v>0</v>
      </c>
      <c r="L427">
        <v>200</v>
      </c>
      <c r="M427" t="s">
        <v>48</v>
      </c>
      <c r="N427">
        <f t="shared" si="24"/>
        <v>1300</v>
      </c>
      <c r="O427">
        <f t="shared" si="25"/>
        <v>900</v>
      </c>
      <c r="P427">
        <f t="shared" si="26"/>
        <v>1829737.5</v>
      </c>
      <c r="Q427">
        <f t="shared" si="27"/>
        <v>1408217.5</v>
      </c>
    </row>
    <row r="428" spans="1:17">
      <c r="A428" t="s">
        <v>808</v>
      </c>
      <c r="B428" s="1">
        <v>46003</v>
      </c>
      <c r="C428" t="s">
        <v>14</v>
      </c>
      <c r="D428" t="s">
        <v>773</v>
      </c>
      <c r="E428" t="s">
        <v>24</v>
      </c>
      <c r="F428" t="s">
        <v>40</v>
      </c>
      <c r="G428" t="s">
        <v>26</v>
      </c>
      <c r="H428" t="s">
        <v>448</v>
      </c>
      <c r="I428">
        <v>3</v>
      </c>
      <c r="J428">
        <v>6500</v>
      </c>
      <c r="K428">
        <v>0.15</v>
      </c>
      <c r="L428">
        <v>1600</v>
      </c>
      <c r="M428" t="s">
        <v>28</v>
      </c>
      <c r="N428">
        <f t="shared" si="24"/>
        <v>16575</v>
      </c>
      <c r="O428">
        <f t="shared" si="25"/>
        <v>11775</v>
      </c>
      <c r="P428">
        <f t="shared" si="26"/>
        <v>1828437.5</v>
      </c>
      <c r="Q428">
        <f t="shared" si="27"/>
        <v>1407317.5</v>
      </c>
    </row>
    <row r="429" spans="1:17">
      <c r="A429" t="s">
        <v>809</v>
      </c>
      <c r="B429" s="1">
        <v>45768</v>
      </c>
      <c r="C429" t="s">
        <v>810</v>
      </c>
      <c r="D429" t="s">
        <v>31</v>
      </c>
      <c r="E429" t="s">
        <v>24</v>
      </c>
      <c r="F429" t="s">
        <v>40</v>
      </c>
      <c r="G429" t="s">
        <v>26</v>
      </c>
      <c r="H429" t="s">
        <v>92</v>
      </c>
      <c r="I429">
        <v>1</v>
      </c>
      <c r="J429">
        <v>15000</v>
      </c>
      <c r="K429">
        <v>0.1</v>
      </c>
      <c r="L429">
        <v>3500</v>
      </c>
      <c r="M429" t="s">
        <v>20</v>
      </c>
      <c r="N429">
        <f t="shared" si="24"/>
        <v>13500</v>
      </c>
      <c r="O429">
        <f t="shared" si="25"/>
        <v>10000</v>
      </c>
      <c r="P429">
        <f t="shared" si="26"/>
        <v>1811862.5</v>
      </c>
      <c r="Q429">
        <f t="shared" si="27"/>
        <v>1395542.5</v>
      </c>
    </row>
    <row r="430" spans="1:17">
      <c r="A430" t="s">
        <v>811</v>
      </c>
      <c r="B430" s="1">
        <v>45815</v>
      </c>
      <c r="C430" t="s">
        <v>157</v>
      </c>
      <c r="D430" t="s">
        <v>155</v>
      </c>
      <c r="E430" t="s">
        <v>39</v>
      </c>
      <c r="F430" t="s">
        <v>40</v>
      </c>
      <c r="G430" t="s">
        <v>26</v>
      </c>
      <c r="H430" t="s">
        <v>448</v>
      </c>
      <c r="I430">
        <v>5</v>
      </c>
      <c r="J430">
        <v>6500</v>
      </c>
      <c r="K430">
        <v>0.05</v>
      </c>
      <c r="L430">
        <v>1600</v>
      </c>
      <c r="M430" t="s">
        <v>28</v>
      </c>
      <c r="N430">
        <f t="shared" si="24"/>
        <v>30875</v>
      </c>
      <c r="O430">
        <f t="shared" si="25"/>
        <v>22875</v>
      </c>
      <c r="P430">
        <f t="shared" si="26"/>
        <v>1798362.5</v>
      </c>
      <c r="Q430">
        <f t="shared" si="27"/>
        <v>1385542.5</v>
      </c>
    </row>
    <row r="431" spans="1:17">
      <c r="A431" t="s">
        <v>812</v>
      </c>
      <c r="B431" s="1">
        <v>45802</v>
      </c>
      <c r="C431" t="s">
        <v>72</v>
      </c>
      <c r="D431" t="s">
        <v>161</v>
      </c>
      <c r="E431" t="s">
        <v>45</v>
      </c>
      <c r="F431" t="s">
        <v>25</v>
      </c>
      <c r="G431" t="s">
        <v>34</v>
      </c>
      <c r="H431" t="s">
        <v>106</v>
      </c>
      <c r="I431">
        <v>3</v>
      </c>
      <c r="J431">
        <v>650</v>
      </c>
      <c r="K431">
        <v>0.15</v>
      </c>
      <c r="L431">
        <v>200</v>
      </c>
      <c r="M431" t="s">
        <v>48</v>
      </c>
      <c r="N431">
        <f t="shared" si="24"/>
        <v>1657.5</v>
      </c>
      <c r="O431">
        <f t="shared" si="25"/>
        <v>1057.5</v>
      </c>
      <c r="P431">
        <f t="shared" si="26"/>
        <v>1767487.5</v>
      </c>
      <c r="Q431">
        <f t="shared" si="27"/>
        <v>1362667.5</v>
      </c>
    </row>
    <row r="432" spans="1:17">
      <c r="A432" t="s">
        <v>813</v>
      </c>
      <c r="B432" s="1">
        <v>45840</v>
      </c>
      <c r="C432" t="s">
        <v>300</v>
      </c>
      <c r="D432" t="s">
        <v>51</v>
      </c>
      <c r="E432" t="s">
        <v>84</v>
      </c>
      <c r="F432" t="s">
        <v>40</v>
      </c>
      <c r="G432" t="s">
        <v>26</v>
      </c>
      <c r="H432" t="s">
        <v>448</v>
      </c>
      <c r="I432">
        <v>5</v>
      </c>
      <c r="J432">
        <v>6500</v>
      </c>
      <c r="K432">
        <v>0.05</v>
      </c>
      <c r="L432">
        <v>1600</v>
      </c>
      <c r="M432" t="s">
        <v>20</v>
      </c>
      <c r="N432">
        <f t="shared" si="24"/>
        <v>30875</v>
      </c>
      <c r="O432">
        <f t="shared" si="25"/>
        <v>22875</v>
      </c>
      <c r="P432">
        <f t="shared" si="26"/>
        <v>1765830</v>
      </c>
      <c r="Q432">
        <f t="shared" si="27"/>
        <v>1361610</v>
      </c>
    </row>
    <row r="433" spans="1:17">
      <c r="A433" t="s">
        <v>814</v>
      </c>
      <c r="B433" s="1">
        <v>45938</v>
      </c>
      <c r="C433" t="s">
        <v>125</v>
      </c>
      <c r="D433" t="s">
        <v>446</v>
      </c>
      <c r="E433" t="s">
        <v>45</v>
      </c>
      <c r="F433" t="s">
        <v>25</v>
      </c>
      <c r="G433" t="s">
        <v>26</v>
      </c>
      <c r="H433" t="s">
        <v>159</v>
      </c>
      <c r="I433">
        <v>4</v>
      </c>
      <c r="J433">
        <v>8500</v>
      </c>
      <c r="K433">
        <v>0</v>
      </c>
      <c r="L433">
        <v>2100</v>
      </c>
      <c r="M433" t="s">
        <v>28</v>
      </c>
      <c r="N433">
        <f t="shared" si="24"/>
        <v>34000</v>
      </c>
      <c r="O433">
        <f t="shared" si="25"/>
        <v>25600</v>
      </c>
      <c r="P433">
        <f t="shared" si="26"/>
        <v>1734955</v>
      </c>
      <c r="Q433">
        <f t="shared" si="27"/>
        <v>1338735</v>
      </c>
    </row>
    <row r="434" spans="1:17">
      <c r="A434" t="s">
        <v>815</v>
      </c>
      <c r="B434" s="1">
        <v>45833</v>
      </c>
      <c r="C434" t="s">
        <v>286</v>
      </c>
      <c r="D434" t="s">
        <v>628</v>
      </c>
      <c r="E434" t="s">
        <v>52</v>
      </c>
      <c r="F434" t="s">
        <v>25</v>
      </c>
      <c r="G434" t="s">
        <v>34</v>
      </c>
      <c r="H434" t="s">
        <v>53</v>
      </c>
      <c r="I434">
        <v>4</v>
      </c>
      <c r="J434">
        <v>950</v>
      </c>
      <c r="K434">
        <v>0.1</v>
      </c>
      <c r="L434">
        <v>300</v>
      </c>
      <c r="M434" t="s">
        <v>28</v>
      </c>
      <c r="N434">
        <f t="shared" si="24"/>
        <v>3420</v>
      </c>
      <c r="O434">
        <f t="shared" si="25"/>
        <v>2220</v>
      </c>
      <c r="P434">
        <f t="shared" si="26"/>
        <v>1700955</v>
      </c>
      <c r="Q434">
        <f t="shared" si="27"/>
        <v>1313135</v>
      </c>
    </row>
    <row r="435" spans="1:17">
      <c r="A435" t="s">
        <v>816</v>
      </c>
      <c r="B435" s="1">
        <v>45965</v>
      </c>
      <c r="C435" t="s">
        <v>424</v>
      </c>
      <c r="D435" t="s">
        <v>243</v>
      </c>
      <c r="E435" t="s">
        <v>52</v>
      </c>
      <c r="F435" t="s">
        <v>25</v>
      </c>
      <c r="G435" t="s">
        <v>34</v>
      </c>
      <c r="H435" t="s">
        <v>35</v>
      </c>
      <c r="I435">
        <v>2</v>
      </c>
      <c r="J435">
        <v>18000</v>
      </c>
      <c r="K435">
        <v>0.05</v>
      </c>
      <c r="L435">
        <v>3000</v>
      </c>
      <c r="M435" t="s">
        <v>28</v>
      </c>
      <c r="N435">
        <f t="shared" si="24"/>
        <v>34200</v>
      </c>
      <c r="O435">
        <f t="shared" si="25"/>
        <v>28200</v>
      </c>
      <c r="P435">
        <f t="shared" si="26"/>
        <v>1697535</v>
      </c>
      <c r="Q435">
        <f t="shared" si="27"/>
        <v>1310915</v>
      </c>
    </row>
    <row r="436" spans="1:17">
      <c r="A436" t="s">
        <v>817</v>
      </c>
      <c r="B436" s="1">
        <v>45815</v>
      </c>
      <c r="C436" t="s">
        <v>170</v>
      </c>
      <c r="D436" t="s">
        <v>59</v>
      </c>
      <c r="E436" t="s">
        <v>45</v>
      </c>
      <c r="F436" t="s">
        <v>25</v>
      </c>
      <c r="G436" t="s">
        <v>18</v>
      </c>
      <c r="H436" t="s">
        <v>85</v>
      </c>
      <c r="I436">
        <v>4</v>
      </c>
      <c r="J436">
        <v>350</v>
      </c>
      <c r="K436">
        <v>0.15</v>
      </c>
      <c r="L436">
        <v>100</v>
      </c>
      <c r="M436" t="s">
        <v>20</v>
      </c>
      <c r="N436">
        <f t="shared" si="24"/>
        <v>1190</v>
      </c>
      <c r="O436">
        <f t="shared" si="25"/>
        <v>790</v>
      </c>
      <c r="P436">
        <f t="shared" si="26"/>
        <v>1663335</v>
      </c>
      <c r="Q436">
        <f t="shared" si="27"/>
        <v>1282715</v>
      </c>
    </row>
    <row r="437" spans="1:17">
      <c r="A437" t="s">
        <v>818</v>
      </c>
      <c r="B437" s="1">
        <v>45742</v>
      </c>
      <c r="C437" t="s">
        <v>576</v>
      </c>
      <c r="D437" t="s">
        <v>478</v>
      </c>
      <c r="E437" t="s">
        <v>32</v>
      </c>
      <c r="F437" t="s">
        <v>33</v>
      </c>
      <c r="G437" t="s">
        <v>26</v>
      </c>
      <c r="H437" t="s">
        <v>448</v>
      </c>
      <c r="I437">
        <v>3</v>
      </c>
      <c r="J437">
        <v>6500</v>
      </c>
      <c r="K437">
        <v>0</v>
      </c>
      <c r="L437">
        <v>1600</v>
      </c>
      <c r="M437" t="s">
        <v>20</v>
      </c>
      <c r="N437">
        <f t="shared" si="24"/>
        <v>19500</v>
      </c>
      <c r="O437">
        <f t="shared" si="25"/>
        <v>14700</v>
      </c>
      <c r="P437">
        <f t="shared" si="26"/>
        <v>1662145</v>
      </c>
      <c r="Q437">
        <f t="shared" si="27"/>
        <v>1281925</v>
      </c>
    </row>
    <row r="438" spans="1:17">
      <c r="A438" t="s">
        <v>819</v>
      </c>
      <c r="B438" s="1">
        <v>45701</v>
      </c>
      <c r="C438" t="s">
        <v>418</v>
      </c>
      <c r="D438" t="s">
        <v>434</v>
      </c>
      <c r="E438" t="s">
        <v>84</v>
      </c>
      <c r="F438" t="s">
        <v>25</v>
      </c>
      <c r="G438" t="s">
        <v>26</v>
      </c>
      <c r="H438" t="s">
        <v>448</v>
      </c>
      <c r="I438">
        <v>5</v>
      </c>
      <c r="J438">
        <v>6500</v>
      </c>
      <c r="K438">
        <v>0</v>
      </c>
      <c r="L438">
        <v>1600</v>
      </c>
      <c r="M438" t="s">
        <v>20</v>
      </c>
      <c r="N438">
        <f t="shared" si="24"/>
        <v>32500</v>
      </c>
      <c r="O438">
        <f t="shared" si="25"/>
        <v>24500</v>
      </c>
      <c r="P438">
        <f t="shared" si="26"/>
        <v>1642645</v>
      </c>
      <c r="Q438">
        <f t="shared" si="27"/>
        <v>1267225</v>
      </c>
    </row>
    <row r="439" spans="1:17">
      <c r="A439" t="s">
        <v>820</v>
      </c>
      <c r="B439" s="1">
        <v>46002</v>
      </c>
      <c r="C439" t="s">
        <v>122</v>
      </c>
      <c r="D439" t="s">
        <v>478</v>
      </c>
      <c r="E439" t="s">
        <v>24</v>
      </c>
      <c r="F439" t="s">
        <v>40</v>
      </c>
      <c r="G439" t="s">
        <v>26</v>
      </c>
      <c r="H439" t="s">
        <v>159</v>
      </c>
      <c r="I439">
        <v>5</v>
      </c>
      <c r="J439">
        <v>8500</v>
      </c>
      <c r="K439">
        <v>0.15</v>
      </c>
      <c r="L439">
        <v>2100</v>
      </c>
      <c r="M439" t="s">
        <v>20</v>
      </c>
      <c r="N439">
        <f t="shared" si="24"/>
        <v>36125</v>
      </c>
      <c r="O439">
        <f t="shared" si="25"/>
        <v>25625</v>
      </c>
      <c r="P439">
        <f t="shared" si="26"/>
        <v>1610145</v>
      </c>
      <c r="Q439">
        <f t="shared" si="27"/>
        <v>1242725</v>
      </c>
    </row>
    <row r="440" spans="1:17">
      <c r="A440" t="s">
        <v>821</v>
      </c>
      <c r="B440" s="1">
        <v>45661</v>
      </c>
      <c r="C440" t="s">
        <v>822</v>
      </c>
      <c r="D440" t="s">
        <v>690</v>
      </c>
      <c r="E440" t="s">
        <v>52</v>
      </c>
      <c r="F440" t="s">
        <v>33</v>
      </c>
      <c r="G440" t="s">
        <v>34</v>
      </c>
      <c r="H440" t="s">
        <v>56</v>
      </c>
      <c r="I440">
        <v>5</v>
      </c>
      <c r="J440">
        <v>1800</v>
      </c>
      <c r="K440">
        <v>0</v>
      </c>
      <c r="L440">
        <v>650</v>
      </c>
      <c r="M440" t="s">
        <v>28</v>
      </c>
      <c r="N440">
        <f t="shared" si="24"/>
        <v>9000</v>
      </c>
      <c r="O440">
        <f t="shared" si="25"/>
        <v>5750</v>
      </c>
      <c r="P440">
        <f t="shared" si="26"/>
        <v>1574020</v>
      </c>
      <c r="Q440">
        <f t="shared" si="27"/>
        <v>1217100</v>
      </c>
    </row>
    <row r="441" spans="1:17">
      <c r="A441" t="s">
        <v>823</v>
      </c>
      <c r="B441" s="1">
        <v>45678</v>
      </c>
      <c r="C441" t="s">
        <v>320</v>
      </c>
      <c r="D441" t="s">
        <v>353</v>
      </c>
      <c r="E441" t="s">
        <v>118</v>
      </c>
      <c r="F441" t="s">
        <v>25</v>
      </c>
      <c r="G441" t="s">
        <v>46</v>
      </c>
      <c r="H441" t="s">
        <v>340</v>
      </c>
      <c r="I441">
        <v>1</v>
      </c>
      <c r="J441">
        <v>1400</v>
      </c>
      <c r="K441">
        <v>0.05</v>
      </c>
      <c r="L441">
        <v>450</v>
      </c>
      <c r="M441" t="s">
        <v>20</v>
      </c>
      <c r="N441">
        <f t="shared" si="24"/>
        <v>1330</v>
      </c>
      <c r="O441">
        <f t="shared" si="25"/>
        <v>880</v>
      </c>
      <c r="P441">
        <f t="shared" si="26"/>
        <v>1565020</v>
      </c>
      <c r="Q441">
        <f t="shared" si="27"/>
        <v>1211350</v>
      </c>
    </row>
    <row r="442" spans="1:17">
      <c r="A442" t="s">
        <v>824</v>
      </c>
      <c r="B442" s="1">
        <v>45913</v>
      </c>
      <c r="C442" t="s">
        <v>362</v>
      </c>
      <c r="D442" t="s">
        <v>491</v>
      </c>
      <c r="E442" t="s">
        <v>24</v>
      </c>
      <c r="F442" t="s">
        <v>17</v>
      </c>
      <c r="G442" t="s">
        <v>26</v>
      </c>
      <c r="H442" t="s">
        <v>153</v>
      </c>
      <c r="I442">
        <v>4</v>
      </c>
      <c r="J442">
        <v>4200</v>
      </c>
      <c r="K442">
        <v>0</v>
      </c>
      <c r="L442">
        <v>1000</v>
      </c>
      <c r="M442" t="s">
        <v>20</v>
      </c>
      <c r="N442">
        <f t="shared" si="24"/>
        <v>16800</v>
      </c>
      <c r="O442">
        <f t="shared" si="25"/>
        <v>12800</v>
      </c>
      <c r="P442">
        <f t="shared" si="26"/>
        <v>1563690</v>
      </c>
      <c r="Q442">
        <f t="shared" si="27"/>
        <v>1210470</v>
      </c>
    </row>
    <row r="443" spans="1:17">
      <c r="A443" t="s">
        <v>825</v>
      </c>
      <c r="B443" s="1">
        <v>46006</v>
      </c>
      <c r="C443" t="s">
        <v>348</v>
      </c>
      <c r="D443" t="s">
        <v>567</v>
      </c>
      <c r="E443" t="s">
        <v>84</v>
      </c>
      <c r="F443" t="s">
        <v>33</v>
      </c>
      <c r="G443" t="s">
        <v>26</v>
      </c>
      <c r="H443" t="s">
        <v>27</v>
      </c>
      <c r="I443">
        <v>1</v>
      </c>
      <c r="J443">
        <v>22000</v>
      </c>
      <c r="K443">
        <v>0.1</v>
      </c>
      <c r="L443">
        <v>5000</v>
      </c>
      <c r="M443" t="s">
        <v>48</v>
      </c>
      <c r="N443">
        <f t="shared" si="24"/>
        <v>19800</v>
      </c>
      <c r="O443">
        <f t="shared" si="25"/>
        <v>14800</v>
      </c>
      <c r="P443">
        <f t="shared" si="26"/>
        <v>1546890</v>
      </c>
      <c r="Q443">
        <f t="shared" si="27"/>
        <v>1197670</v>
      </c>
    </row>
    <row r="444" spans="1:17">
      <c r="A444" t="s">
        <v>826</v>
      </c>
      <c r="B444" s="1">
        <v>45953</v>
      </c>
      <c r="C444" t="s">
        <v>62</v>
      </c>
      <c r="D444" t="s">
        <v>376</v>
      </c>
      <c r="E444" t="s">
        <v>16</v>
      </c>
      <c r="F444" t="s">
        <v>33</v>
      </c>
      <c r="G444" t="s">
        <v>18</v>
      </c>
      <c r="H444" t="s">
        <v>19</v>
      </c>
      <c r="I444">
        <v>4</v>
      </c>
      <c r="J444">
        <v>1200</v>
      </c>
      <c r="K444">
        <v>0.15</v>
      </c>
      <c r="L444">
        <v>350</v>
      </c>
      <c r="M444" t="s">
        <v>20</v>
      </c>
      <c r="N444">
        <f t="shared" si="24"/>
        <v>4080</v>
      </c>
      <c r="O444">
        <f t="shared" si="25"/>
        <v>2680</v>
      </c>
      <c r="P444">
        <f t="shared" si="26"/>
        <v>1527090</v>
      </c>
      <c r="Q444">
        <f t="shared" si="27"/>
        <v>1182870</v>
      </c>
    </row>
    <row r="445" spans="1:17">
      <c r="A445" t="s">
        <v>827</v>
      </c>
      <c r="B445" s="1">
        <v>45930</v>
      </c>
      <c r="C445" t="s">
        <v>170</v>
      </c>
      <c r="D445" t="s">
        <v>488</v>
      </c>
      <c r="E445" t="s">
        <v>45</v>
      </c>
      <c r="F445" t="s">
        <v>33</v>
      </c>
      <c r="G445" t="s">
        <v>26</v>
      </c>
      <c r="H445" t="s">
        <v>27</v>
      </c>
      <c r="I445">
        <v>1</v>
      </c>
      <c r="J445">
        <v>22000</v>
      </c>
      <c r="K445">
        <v>0.1</v>
      </c>
      <c r="L445">
        <v>5000</v>
      </c>
      <c r="M445" t="s">
        <v>20</v>
      </c>
      <c r="N445">
        <f t="shared" si="24"/>
        <v>19800</v>
      </c>
      <c r="O445">
        <f t="shared" si="25"/>
        <v>14800</v>
      </c>
      <c r="P445">
        <f t="shared" si="26"/>
        <v>1523010</v>
      </c>
      <c r="Q445">
        <f t="shared" si="27"/>
        <v>1180190</v>
      </c>
    </row>
    <row r="446" spans="1:17">
      <c r="A446" t="s">
        <v>828</v>
      </c>
      <c r="B446" s="1">
        <v>45952</v>
      </c>
      <c r="C446" t="s">
        <v>303</v>
      </c>
      <c r="D446" t="s">
        <v>141</v>
      </c>
      <c r="E446" t="s">
        <v>24</v>
      </c>
      <c r="F446" t="s">
        <v>25</v>
      </c>
      <c r="G446" t="s">
        <v>46</v>
      </c>
      <c r="H446" t="s">
        <v>96</v>
      </c>
      <c r="I446">
        <v>1</v>
      </c>
      <c r="J446">
        <v>3200</v>
      </c>
      <c r="K446">
        <v>0.1</v>
      </c>
      <c r="L446">
        <v>950</v>
      </c>
      <c r="M446" t="s">
        <v>48</v>
      </c>
      <c r="N446">
        <f t="shared" si="24"/>
        <v>2880</v>
      </c>
      <c r="O446">
        <f t="shared" si="25"/>
        <v>1930</v>
      </c>
      <c r="P446">
        <f t="shared" si="26"/>
        <v>1503210</v>
      </c>
      <c r="Q446">
        <f t="shared" si="27"/>
        <v>1165390</v>
      </c>
    </row>
    <row r="447" spans="1:17">
      <c r="A447" t="s">
        <v>829</v>
      </c>
      <c r="B447" s="1">
        <v>45938</v>
      </c>
      <c r="C447" t="s">
        <v>108</v>
      </c>
      <c r="D447" t="s">
        <v>55</v>
      </c>
      <c r="E447" t="s">
        <v>118</v>
      </c>
      <c r="F447" t="s">
        <v>40</v>
      </c>
      <c r="G447" t="s">
        <v>46</v>
      </c>
      <c r="H447" t="s">
        <v>47</v>
      </c>
      <c r="I447">
        <v>1</v>
      </c>
      <c r="J447">
        <v>550</v>
      </c>
      <c r="K447">
        <v>0.1</v>
      </c>
      <c r="L447">
        <v>180</v>
      </c>
      <c r="M447" t="s">
        <v>28</v>
      </c>
      <c r="N447">
        <f t="shared" si="24"/>
        <v>495</v>
      </c>
      <c r="O447">
        <f t="shared" si="25"/>
        <v>315</v>
      </c>
      <c r="P447">
        <f t="shared" si="26"/>
        <v>1500330</v>
      </c>
      <c r="Q447">
        <f t="shared" si="27"/>
        <v>1163460</v>
      </c>
    </row>
    <row r="448" spans="1:17">
      <c r="A448" t="s">
        <v>830</v>
      </c>
      <c r="B448" s="1">
        <v>45733</v>
      </c>
      <c r="C448" t="s">
        <v>294</v>
      </c>
      <c r="D448" t="s">
        <v>560</v>
      </c>
      <c r="E448" t="s">
        <v>16</v>
      </c>
      <c r="F448" t="s">
        <v>17</v>
      </c>
      <c r="G448" t="s">
        <v>34</v>
      </c>
      <c r="H448" t="s">
        <v>41</v>
      </c>
      <c r="I448">
        <v>3</v>
      </c>
      <c r="J448">
        <v>52000</v>
      </c>
      <c r="K448">
        <v>0</v>
      </c>
      <c r="L448">
        <v>9000</v>
      </c>
      <c r="M448" t="s">
        <v>28</v>
      </c>
      <c r="N448">
        <f t="shared" si="24"/>
        <v>156000</v>
      </c>
      <c r="O448">
        <f t="shared" si="25"/>
        <v>129000</v>
      </c>
      <c r="P448">
        <f t="shared" si="26"/>
        <v>1499835</v>
      </c>
      <c r="Q448">
        <f t="shared" si="27"/>
        <v>1163145</v>
      </c>
    </row>
    <row r="449" spans="1:17">
      <c r="A449" t="s">
        <v>831</v>
      </c>
      <c r="B449" s="1">
        <v>45907</v>
      </c>
      <c r="C449" t="s">
        <v>832</v>
      </c>
      <c r="D449" t="s">
        <v>833</v>
      </c>
      <c r="E449" t="s">
        <v>16</v>
      </c>
      <c r="F449" t="s">
        <v>17</v>
      </c>
      <c r="G449" t="s">
        <v>18</v>
      </c>
      <c r="H449" t="s">
        <v>136</v>
      </c>
      <c r="I449">
        <v>4</v>
      </c>
      <c r="J449">
        <v>2800</v>
      </c>
      <c r="K449">
        <v>0</v>
      </c>
      <c r="L449">
        <v>750</v>
      </c>
      <c r="M449" t="s">
        <v>48</v>
      </c>
      <c r="N449">
        <f t="shared" si="24"/>
        <v>11200</v>
      </c>
      <c r="O449">
        <f t="shared" si="25"/>
        <v>8200</v>
      </c>
      <c r="P449">
        <f t="shared" si="26"/>
        <v>1343835</v>
      </c>
      <c r="Q449">
        <f t="shared" si="27"/>
        <v>1034145</v>
      </c>
    </row>
    <row r="450" spans="1:17">
      <c r="A450" t="s">
        <v>834</v>
      </c>
      <c r="B450" s="1">
        <v>45822</v>
      </c>
      <c r="C450" t="s">
        <v>645</v>
      </c>
      <c r="D450" t="s">
        <v>378</v>
      </c>
      <c r="E450" t="s">
        <v>45</v>
      </c>
      <c r="F450" t="s">
        <v>33</v>
      </c>
      <c r="G450" t="s">
        <v>26</v>
      </c>
      <c r="H450" t="s">
        <v>27</v>
      </c>
      <c r="I450">
        <v>3</v>
      </c>
      <c r="J450">
        <v>22000</v>
      </c>
      <c r="K450">
        <v>0.15</v>
      </c>
      <c r="L450">
        <v>5000</v>
      </c>
      <c r="M450" t="s">
        <v>20</v>
      </c>
      <c r="N450">
        <f t="shared" ref="N450:N501" si="28">I450*J450*(1-K450)</f>
        <v>56100</v>
      </c>
      <c r="O450">
        <f t="shared" ref="O450:O501" si="29">N450-(L450*I450)</f>
        <v>41100</v>
      </c>
      <c r="P450">
        <f t="shared" ref="P450:P501" si="30">SUM(N450:N949)</f>
        <v>1332635</v>
      </c>
      <c r="Q450">
        <f t="shared" ref="Q450:Q501" si="31">SUM(O450:O949)</f>
        <v>1025945</v>
      </c>
    </row>
    <row r="451" spans="1:17">
      <c r="A451" t="s">
        <v>835</v>
      </c>
      <c r="B451" s="1">
        <v>45967</v>
      </c>
      <c r="C451" t="s">
        <v>453</v>
      </c>
      <c r="D451" t="s">
        <v>836</v>
      </c>
      <c r="E451" t="s">
        <v>84</v>
      </c>
      <c r="F451" t="s">
        <v>25</v>
      </c>
      <c r="G451" t="s">
        <v>34</v>
      </c>
      <c r="H451" t="s">
        <v>41</v>
      </c>
      <c r="I451">
        <v>3</v>
      </c>
      <c r="J451">
        <v>52000</v>
      </c>
      <c r="K451">
        <v>0.1</v>
      </c>
      <c r="L451">
        <v>9000</v>
      </c>
      <c r="M451" t="s">
        <v>48</v>
      </c>
      <c r="N451">
        <f t="shared" si="28"/>
        <v>140400</v>
      </c>
      <c r="O451">
        <f t="shared" si="29"/>
        <v>113400</v>
      </c>
      <c r="P451">
        <f t="shared" si="30"/>
        <v>1276535</v>
      </c>
      <c r="Q451">
        <f t="shared" si="31"/>
        <v>984845</v>
      </c>
    </row>
    <row r="452" spans="1:17">
      <c r="A452" t="s">
        <v>837</v>
      </c>
      <c r="B452" s="1">
        <v>45766</v>
      </c>
      <c r="C452" t="s">
        <v>424</v>
      </c>
      <c r="D452" t="s">
        <v>608</v>
      </c>
      <c r="E452" t="s">
        <v>24</v>
      </c>
      <c r="F452" t="s">
        <v>33</v>
      </c>
      <c r="G452" t="s">
        <v>46</v>
      </c>
      <c r="H452" t="s">
        <v>47</v>
      </c>
      <c r="I452">
        <v>5</v>
      </c>
      <c r="J452">
        <v>550</v>
      </c>
      <c r="K452">
        <v>0</v>
      </c>
      <c r="L452">
        <v>180</v>
      </c>
      <c r="M452" t="s">
        <v>28</v>
      </c>
      <c r="N452">
        <f t="shared" si="28"/>
        <v>2750</v>
      </c>
      <c r="O452">
        <f t="shared" si="29"/>
        <v>1850</v>
      </c>
      <c r="P452">
        <f t="shared" si="30"/>
        <v>1136135</v>
      </c>
      <c r="Q452">
        <f t="shared" si="31"/>
        <v>871445</v>
      </c>
    </row>
    <row r="453" spans="1:17">
      <c r="A453" t="s">
        <v>838</v>
      </c>
      <c r="B453" s="1">
        <v>45687</v>
      </c>
      <c r="C453" t="s">
        <v>122</v>
      </c>
      <c r="D453" t="s">
        <v>407</v>
      </c>
      <c r="E453" t="s">
        <v>24</v>
      </c>
      <c r="F453" t="s">
        <v>17</v>
      </c>
      <c r="G453" t="s">
        <v>34</v>
      </c>
      <c r="H453" t="s">
        <v>41</v>
      </c>
      <c r="I453">
        <v>2</v>
      </c>
      <c r="J453">
        <v>52000</v>
      </c>
      <c r="K453">
        <v>0.05</v>
      </c>
      <c r="L453">
        <v>9000</v>
      </c>
      <c r="M453" t="s">
        <v>48</v>
      </c>
      <c r="N453">
        <f t="shared" si="28"/>
        <v>98800</v>
      </c>
      <c r="O453">
        <f t="shared" si="29"/>
        <v>80800</v>
      </c>
      <c r="P453">
        <f t="shared" si="30"/>
        <v>1133385</v>
      </c>
      <c r="Q453">
        <f t="shared" si="31"/>
        <v>869595</v>
      </c>
    </row>
    <row r="454" spans="1:17">
      <c r="A454" t="s">
        <v>839</v>
      </c>
      <c r="B454" s="1">
        <v>45735</v>
      </c>
      <c r="C454" t="s">
        <v>315</v>
      </c>
      <c r="D454" t="s">
        <v>729</v>
      </c>
      <c r="E454" t="s">
        <v>16</v>
      </c>
      <c r="F454" t="s">
        <v>33</v>
      </c>
      <c r="G454" t="s">
        <v>46</v>
      </c>
      <c r="H454" t="s">
        <v>80</v>
      </c>
      <c r="I454">
        <v>4</v>
      </c>
      <c r="J454">
        <v>1900</v>
      </c>
      <c r="K454">
        <v>0.05</v>
      </c>
      <c r="L454">
        <v>600</v>
      </c>
      <c r="M454" t="s">
        <v>48</v>
      </c>
      <c r="N454">
        <f t="shared" si="28"/>
        <v>7220</v>
      </c>
      <c r="O454">
        <f t="shared" si="29"/>
        <v>4820</v>
      </c>
      <c r="P454">
        <f t="shared" si="30"/>
        <v>1034585</v>
      </c>
      <c r="Q454">
        <f t="shared" si="31"/>
        <v>788795</v>
      </c>
    </row>
    <row r="455" spans="1:17">
      <c r="A455" t="s">
        <v>840</v>
      </c>
      <c r="B455" s="1">
        <v>46015</v>
      </c>
      <c r="C455" t="s">
        <v>82</v>
      </c>
      <c r="D455" t="s">
        <v>395</v>
      </c>
      <c r="E455" t="s">
        <v>45</v>
      </c>
      <c r="F455" t="s">
        <v>40</v>
      </c>
      <c r="G455" t="s">
        <v>26</v>
      </c>
      <c r="H455" t="s">
        <v>448</v>
      </c>
      <c r="I455">
        <v>3</v>
      </c>
      <c r="J455">
        <v>6500</v>
      </c>
      <c r="K455">
        <v>0.05</v>
      </c>
      <c r="L455">
        <v>1600</v>
      </c>
      <c r="M455" t="s">
        <v>20</v>
      </c>
      <c r="N455">
        <f t="shared" si="28"/>
        <v>18525</v>
      </c>
      <c r="O455">
        <f t="shared" si="29"/>
        <v>13725</v>
      </c>
      <c r="P455">
        <f t="shared" si="30"/>
        <v>1027365</v>
      </c>
      <c r="Q455">
        <f t="shared" si="31"/>
        <v>783975</v>
      </c>
    </row>
    <row r="456" spans="1:17">
      <c r="A456" t="s">
        <v>841</v>
      </c>
      <c r="B456" s="1">
        <v>45861</v>
      </c>
      <c r="C456" t="s">
        <v>842</v>
      </c>
      <c r="D456" t="s">
        <v>773</v>
      </c>
      <c r="E456" t="s">
        <v>84</v>
      </c>
      <c r="F456" t="s">
        <v>25</v>
      </c>
      <c r="G456" t="s">
        <v>18</v>
      </c>
      <c r="H456" t="s">
        <v>76</v>
      </c>
      <c r="I456">
        <v>5</v>
      </c>
      <c r="J456">
        <v>850</v>
      </c>
      <c r="K456">
        <v>0</v>
      </c>
      <c r="L456">
        <v>250</v>
      </c>
      <c r="M456" t="s">
        <v>48</v>
      </c>
      <c r="N456">
        <f t="shared" si="28"/>
        <v>4250</v>
      </c>
      <c r="O456">
        <f t="shared" si="29"/>
        <v>3000</v>
      </c>
      <c r="P456">
        <f t="shared" si="30"/>
        <v>1008840</v>
      </c>
      <c r="Q456">
        <f t="shared" si="31"/>
        <v>770250</v>
      </c>
    </row>
    <row r="457" spans="1:17">
      <c r="A457" t="s">
        <v>843</v>
      </c>
      <c r="B457" s="1">
        <v>45846</v>
      </c>
      <c r="C457" t="s">
        <v>68</v>
      </c>
      <c r="D457" t="s">
        <v>638</v>
      </c>
      <c r="E457" t="s">
        <v>39</v>
      </c>
      <c r="F457" t="s">
        <v>25</v>
      </c>
      <c r="G457" t="s">
        <v>26</v>
      </c>
      <c r="H457" t="s">
        <v>92</v>
      </c>
      <c r="I457">
        <v>3</v>
      </c>
      <c r="J457">
        <v>15000</v>
      </c>
      <c r="K457">
        <v>0.05</v>
      </c>
      <c r="L457">
        <v>3500</v>
      </c>
      <c r="M457" t="s">
        <v>48</v>
      </c>
      <c r="N457">
        <f t="shared" si="28"/>
        <v>42750</v>
      </c>
      <c r="O457">
        <f t="shared" si="29"/>
        <v>32250</v>
      </c>
      <c r="P457">
        <f t="shared" si="30"/>
        <v>1004590</v>
      </c>
      <c r="Q457">
        <f t="shared" si="31"/>
        <v>767250</v>
      </c>
    </row>
    <row r="458" spans="1:17">
      <c r="A458" t="s">
        <v>844</v>
      </c>
      <c r="B458" s="1">
        <v>45755</v>
      </c>
      <c r="C458" t="s">
        <v>117</v>
      </c>
      <c r="D458" t="s">
        <v>126</v>
      </c>
      <c r="E458" t="s">
        <v>32</v>
      </c>
      <c r="F458" t="s">
        <v>17</v>
      </c>
      <c r="G458" t="s">
        <v>46</v>
      </c>
      <c r="H458" t="s">
        <v>96</v>
      </c>
      <c r="I458">
        <v>2</v>
      </c>
      <c r="J458">
        <v>3200</v>
      </c>
      <c r="K458">
        <v>0.1</v>
      </c>
      <c r="L458">
        <v>950</v>
      </c>
      <c r="M458" t="s">
        <v>28</v>
      </c>
      <c r="N458">
        <f t="shared" si="28"/>
        <v>5760</v>
      </c>
      <c r="O458">
        <f t="shared" si="29"/>
        <v>3860</v>
      </c>
      <c r="P458">
        <f t="shared" si="30"/>
        <v>961840</v>
      </c>
      <c r="Q458">
        <f t="shared" si="31"/>
        <v>735000</v>
      </c>
    </row>
    <row r="459" spans="1:17">
      <c r="A459" t="s">
        <v>845</v>
      </c>
      <c r="B459" s="1">
        <v>45877</v>
      </c>
      <c r="C459" t="s">
        <v>170</v>
      </c>
      <c r="D459" t="s">
        <v>115</v>
      </c>
      <c r="E459" t="s">
        <v>45</v>
      </c>
      <c r="F459" t="s">
        <v>17</v>
      </c>
      <c r="G459" t="s">
        <v>34</v>
      </c>
      <c r="H459" t="s">
        <v>106</v>
      </c>
      <c r="I459">
        <v>3</v>
      </c>
      <c r="J459">
        <v>650</v>
      </c>
      <c r="K459">
        <v>0.1</v>
      </c>
      <c r="L459">
        <v>200</v>
      </c>
      <c r="M459" t="s">
        <v>20</v>
      </c>
      <c r="N459">
        <f t="shared" si="28"/>
        <v>1755</v>
      </c>
      <c r="O459">
        <f t="shared" si="29"/>
        <v>1155</v>
      </c>
      <c r="P459">
        <f t="shared" si="30"/>
        <v>956080</v>
      </c>
      <c r="Q459">
        <f t="shared" si="31"/>
        <v>731140</v>
      </c>
    </row>
    <row r="460" spans="1:17">
      <c r="A460" t="s">
        <v>846</v>
      </c>
      <c r="B460" s="1">
        <v>45767</v>
      </c>
      <c r="C460" t="s">
        <v>802</v>
      </c>
      <c r="D460" t="s">
        <v>177</v>
      </c>
      <c r="E460" t="s">
        <v>32</v>
      </c>
      <c r="F460" t="s">
        <v>33</v>
      </c>
      <c r="G460" t="s">
        <v>26</v>
      </c>
      <c r="H460" t="s">
        <v>153</v>
      </c>
      <c r="I460">
        <v>4</v>
      </c>
      <c r="J460">
        <v>4200</v>
      </c>
      <c r="K460">
        <v>0</v>
      </c>
      <c r="L460">
        <v>1000</v>
      </c>
      <c r="M460" t="s">
        <v>48</v>
      </c>
      <c r="N460">
        <f t="shared" si="28"/>
        <v>16800</v>
      </c>
      <c r="O460">
        <f t="shared" si="29"/>
        <v>12800</v>
      </c>
      <c r="P460">
        <f t="shared" si="30"/>
        <v>954325</v>
      </c>
      <c r="Q460">
        <f t="shared" si="31"/>
        <v>729985</v>
      </c>
    </row>
    <row r="461" spans="1:17">
      <c r="A461" t="s">
        <v>847</v>
      </c>
      <c r="B461" s="1">
        <v>45858</v>
      </c>
      <c r="C461" t="s">
        <v>418</v>
      </c>
      <c r="D461" t="s">
        <v>139</v>
      </c>
      <c r="E461" t="s">
        <v>52</v>
      </c>
      <c r="F461" t="s">
        <v>17</v>
      </c>
      <c r="G461" t="s">
        <v>34</v>
      </c>
      <c r="H461" t="s">
        <v>106</v>
      </c>
      <c r="I461">
        <v>3</v>
      </c>
      <c r="J461">
        <v>650</v>
      </c>
      <c r="K461">
        <v>0.15</v>
      </c>
      <c r="L461">
        <v>200</v>
      </c>
      <c r="M461" t="s">
        <v>28</v>
      </c>
      <c r="N461">
        <f t="shared" si="28"/>
        <v>1657.5</v>
      </c>
      <c r="O461">
        <f t="shared" si="29"/>
        <v>1057.5</v>
      </c>
      <c r="P461">
        <f t="shared" si="30"/>
        <v>937525</v>
      </c>
      <c r="Q461">
        <f t="shared" si="31"/>
        <v>717185</v>
      </c>
    </row>
    <row r="462" spans="1:17">
      <c r="A462" t="s">
        <v>848</v>
      </c>
      <c r="B462" s="1">
        <v>45891</v>
      </c>
      <c r="C462" t="s">
        <v>576</v>
      </c>
      <c r="D462" t="s">
        <v>223</v>
      </c>
      <c r="E462" t="s">
        <v>52</v>
      </c>
      <c r="F462" t="s">
        <v>25</v>
      </c>
      <c r="G462" t="s">
        <v>18</v>
      </c>
      <c r="H462" t="s">
        <v>136</v>
      </c>
      <c r="I462">
        <v>1</v>
      </c>
      <c r="J462">
        <v>2800</v>
      </c>
      <c r="K462">
        <v>0.1</v>
      </c>
      <c r="L462">
        <v>750</v>
      </c>
      <c r="M462" t="s">
        <v>48</v>
      </c>
      <c r="N462">
        <f t="shared" si="28"/>
        <v>2520</v>
      </c>
      <c r="O462">
        <f t="shared" si="29"/>
        <v>1770</v>
      </c>
      <c r="P462">
        <f t="shared" si="30"/>
        <v>935867.5</v>
      </c>
      <c r="Q462">
        <f t="shared" si="31"/>
        <v>716127.5</v>
      </c>
    </row>
    <row r="463" spans="1:17">
      <c r="A463" t="s">
        <v>849</v>
      </c>
      <c r="B463" s="1">
        <v>45890</v>
      </c>
      <c r="C463" t="s">
        <v>545</v>
      </c>
      <c r="D463" t="s">
        <v>69</v>
      </c>
      <c r="E463" t="s">
        <v>45</v>
      </c>
      <c r="F463" t="s">
        <v>17</v>
      </c>
      <c r="G463" t="s">
        <v>46</v>
      </c>
      <c r="H463" t="s">
        <v>340</v>
      </c>
      <c r="I463">
        <v>4</v>
      </c>
      <c r="J463">
        <v>1400</v>
      </c>
      <c r="K463">
        <v>0.1</v>
      </c>
      <c r="L463">
        <v>450</v>
      </c>
      <c r="M463" t="s">
        <v>20</v>
      </c>
      <c r="N463">
        <f t="shared" si="28"/>
        <v>5040</v>
      </c>
      <c r="O463">
        <f t="shared" si="29"/>
        <v>3240</v>
      </c>
      <c r="P463">
        <f t="shared" si="30"/>
        <v>933347.5</v>
      </c>
      <c r="Q463">
        <f t="shared" si="31"/>
        <v>714357.5</v>
      </c>
    </row>
    <row r="464" spans="1:17">
      <c r="A464" t="s">
        <v>850</v>
      </c>
      <c r="B464" s="1">
        <v>45997</v>
      </c>
      <c r="C464" t="s">
        <v>494</v>
      </c>
      <c r="D464" t="s">
        <v>115</v>
      </c>
      <c r="E464" t="s">
        <v>84</v>
      </c>
      <c r="F464" t="s">
        <v>40</v>
      </c>
      <c r="G464" t="s">
        <v>26</v>
      </c>
      <c r="H464" t="s">
        <v>153</v>
      </c>
      <c r="I464">
        <v>4</v>
      </c>
      <c r="J464">
        <v>4200</v>
      </c>
      <c r="K464">
        <v>0</v>
      </c>
      <c r="L464">
        <v>1000</v>
      </c>
      <c r="M464" t="s">
        <v>28</v>
      </c>
      <c r="N464">
        <f t="shared" si="28"/>
        <v>16800</v>
      </c>
      <c r="O464">
        <f t="shared" si="29"/>
        <v>12800</v>
      </c>
      <c r="P464">
        <f t="shared" si="30"/>
        <v>928307.5</v>
      </c>
      <c r="Q464">
        <f t="shared" si="31"/>
        <v>711117.5</v>
      </c>
    </row>
    <row r="465" spans="1:17">
      <c r="A465" t="s">
        <v>851</v>
      </c>
      <c r="B465" s="1">
        <v>45689</v>
      </c>
      <c r="C465" t="s">
        <v>477</v>
      </c>
      <c r="D465" t="s">
        <v>740</v>
      </c>
      <c r="E465" t="s">
        <v>39</v>
      </c>
      <c r="F465" t="s">
        <v>40</v>
      </c>
      <c r="G465" t="s">
        <v>18</v>
      </c>
      <c r="H465" t="s">
        <v>70</v>
      </c>
      <c r="I465">
        <v>5</v>
      </c>
      <c r="J465">
        <v>2400</v>
      </c>
      <c r="K465">
        <v>0.05</v>
      </c>
      <c r="L465">
        <v>650</v>
      </c>
      <c r="M465" t="s">
        <v>20</v>
      </c>
      <c r="N465">
        <f t="shared" si="28"/>
        <v>11400</v>
      </c>
      <c r="O465">
        <f t="shared" si="29"/>
        <v>8150</v>
      </c>
      <c r="P465">
        <f t="shared" si="30"/>
        <v>911507.5</v>
      </c>
      <c r="Q465">
        <f t="shared" si="31"/>
        <v>698317.5</v>
      </c>
    </row>
    <row r="466" spans="1:17">
      <c r="A466" t="s">
        <v>852</v>
      </c>
      <c r="B466" s="1">
        <v>45851</v>
      </c>
      <c r="C466" t="s">
        <v>496</v>
      </c>
      <c r="D466" t="s">
        <v>91</v>
      </c>
      <c r="E466" t="s">
        <v>32</v>
      </c>
      <c r="F466" t="s">
        <v>33</v>
      </c>
      <c r="G466" t="s">
        <v>18</v>
      </c>
      <c r="H466" t="s">
        <v>76</v>
      </c>
      <c r="I466">
        <v>5</v>
      </c>
      <c r="J466">
        <v>850</v>
      </c>
      <c r="K466">
        <v>0</v>
      </c>
      <c r="L466">
        <v>250</v>
      </c>
      <c r="M466" t="s">
        <v>28</v>
      </c>
      <c r="N466">
        <f t="shared" si="28"/>
        <v>4250</v>
      </c>
      <c r="O466">
        <f t="shared" si="29"/>
        <v>3000</v>
      </c>
      <c r="P466">
        <f t="shared" si="30"/>
        <v>900107.5</v>
      </c>
      <c r="Q466">
        <f t="shared" si="31"/>
        <v>690167.5</v>
      </c>
    </row>
    <row r="467" spans="1:17">
      <c r="A467" t="s">
        <v>853</v>
      </c>
      <c r="B467" s="1">
        <v>45738</v>
      </c>
      <c r="C467" t="s">
        <v>125</v>
      </c>
      <c r="D467" t="s">
        <v>504</v>
      </c>
      <c r="E467" t="s">
        <v>52</v>
      </c>
      <c r="F467" t="s">
        <v>40</v>
      </c>
      <c r="G467" t="s">
        <v>18</v>
      </c>
      <c r="H467" t="s">
        <v>76</v>
      </c>
      <c r="I467">
        <v>2</v>
      </c>
      <c r="J467">
        <v>850</v>
      </c>
      <c r="K467">
        <v>0</v>
      </c>
      <c r="L467">
        <v>250</v>
      </c>
      <c r="M467" t="s">
        <v>48</v>
      </c>
      <c r="N467">
        <f t="shared" si="28"/>
        <v>1700</v>
      </c>
      <c r="O467">
        <f t="shared" si="29"/>
        <v>1200</v>
      </c>
      <c r="P467">
        <f t="shared" si="30"/>
        <v>895857.5</v>
      </c>
      <c r="Q467">
        <f t="shared" si="31"/>
        <v>687167.5</v>
      </c>
    </row>
    <row r="468" spans="1:17">
      <c r="A468" t="s">
        <v>854</v>
      </c>
      <c r="B468" s="1">
        <v>45991</v>
      </c>
      <c r="C468" t="s">
        <v>266</v>
      </c>
      <c r="D468" t="s">
        <v>281</v>
      </c>
      <c r="E468" t="s">
        <v>84</v>
      </c>
      <c r="F468" t="s">
        <v>40</v>
      </c>
      <c r="G468" t="s">
        <v>26</v>
      </c>
      <c r="H468" t="s">
        <v>92</v>
      </c>
      <c r="I468">
        <v>5</v>
      </c>
      <c r="J468">
        <v>15000</v>
      </c>
      <c r="K468">
        <v>0</v>
      </c>
      <c r="L468">
        <v>3500</v>
      </c>
      <c r="M468" t="s">
        <v>20</v>
      </c>
      <c r="N468">
        <f t="shared" si="28"/>
        <v>75000</v>
      </c>
      <c r="O468">
        <f t="shared" si="29"/>
        <v>57500</v>
      </c>
      <c r="P468">
        <f t="shared" si="30"/>
        <v>894157.5</v>
      </c>
      <c r="Q468">
        <f t="shared" si="31"/>
        <v>685967.5</v>
      </c>
    </row>
    <row r="469" spans="1:17">
      <c r="A469" t="s">
        <v>855</v>
      </c>
      <c r="B469" s="1">
        <v>45997</v>
      </c>
      <c r="C469" t="s">
        <v>496</v>
      </c>
      <c r="D469" t="s">
        <v>360</v>
      </c>
      <c r="E469" t="s">
        <v>32</v>
      </c>
      <c r="F469" t="s">
        <v>40</v>
      </c>
      <c r="G469" t="s">
        <v>26</v>
      </c>
      <c r="H469" t="s">
        <v>27</v>
      </c>
      <c r="I469">
        <v>5</v>
      </c>
      <c r="J469">
        <v>22000</v>
      </c>
      <c r="K469">
        <v>0</v>
      </c>
      <c r="L469">
        <v>5000</v>
      </c>
      <c r="M469" t="s">
        <v>48</v>
      </c>
      <c r="N469">
        <f t="shared" si="28"/>
        <v>110000</v>
      </c>
      <c r="O469">
        <f t="shared" si="29"/>
        <v>85000</v>
      </c>
      <c r="P469">
        <f t="shared" si="30"/>
        <v>819157.5</v>
      </c>
      <c r="Q469">
        <f t="shared" si="31"/>
        <v>628467.5</v>
      </c>
    </row>
    <row r="470" spans="1:17">
      <c r="A470" t="s">
        <v>856</v>
      </c>
      <c r="B470" s="1">
        <v>45695</v>
      </c>
      <c r="C470" t="s">
        <v>101</v>
      </c>
      <c r="D470" t="s">
        <v>295</v>
      </c>
      <c r="E470" t="s">
        <v>84</v>
      </c>
      <c r="F470" t="s">
        <v>33</v>
      </c>
      <c r="G470" t="s">
        <v>18</v>
      </c>
      <c r="H470" t="s">
        <v>70</v>
      </c>
      <c r="I470">
        <v>4</v>
      </c>
      <c r="J470">
        <v>2400</v>
      </c>
      <c r="K470">
        <v>0.05</v>
      </c>
      <c r="L470">
        <v>650</v>
      </c>
      <c r="M470" t="s">
        <v>20</v>
      </c>
      <c r="N470">
        <f t="shared" si="28"/>
        <v>9120</v>
      </c>
      <c r="O470">
        <f t="shared" si="29"/>
        <v>6520</v>
      </c>
      <c r="P470">
        <f t="shared" si="30"/>
        <v>709157.5</v>
      </c>
      <c r="Q470">
        <f t="shared" si="31"/>
        <v>543467.5</v>
      </c>
    </row>
    <row r="471" spans="1:17">
      <c r="A471" t="s">
        <v>857</v>
      </c>
      <c r="B471" s="1">
        <v>45955</v>
      </c>
      <c r="C471" t="s">
        <v>151</v>
      </c>
      <c r="D471" t="s">
        <v>203</v>
      </c>
      <c r="E471" t="s">
        <v>45</v>
      </c>
      <c r="F471" t="s">
        <v>40</v>
      </c>
      <c r="G471" t="s">
        <v>18</v>
      </c>
      <c r="H471" t="s">
        <v>70</v>
      </c>
      <c r="I471">
        <v>2</v>
      </c>
      <c r="J471">
        <v>2400</v>
      </c>
      <c r="K471">
        <v>0.1</v>
      </c>
      <c r="L471">
        <v>650</v>
      </c>
      <c r="M471" t="s">
        <v>48</v>
      </c>
      <c r="N471">
        <f t="shared" si="28"/>
        <v>4320</v>
      </c>
      <c r="O471">
        <f t="shared" si="29"/>
        <v>3020</v>
      </c>
      <c r="P471">
        <f t="shared" si="30"/>
        <v>700037.5</v>
      </c>
      <c r="Q471">
        <f t="shared" si="31"/>
        <v>536947.5</v>
      </c>
    </row>
    <row r="472" spans="1:17">
      <c r="A472" t="s">
        <v>858</v>
      </c>
      <c r="B472" s="1">
        <v>45726</v>
      </c>
      <c r="C472" t="s">
        <v>771</v>
      </c>
      <c r="D472" t="s">
        <v>190</v>
      </c>
      <c r="E472" t="s">
        <v>24</v>
      </c>
      <c r="F472" t="s">
        <v>25</v>
      </c>
      <c r="G472" t="s">
        <v>18</v>
      </c>
      <c r="H472" t="s">
        <v>76</v>
      </c>
      <c r="I472">
        <v>1</v>
      </c>
      <c r="J472">
        <v>850</v>
      </c>
      <c r="K472">
        <v>0</v>
      </c>
      <c r="L472">
        <v>250</v>
      </c>
      <c r="M472" t="s">
        <v>48</v>
      </c>
      <c r="N472">
        <f t="shared" si="28"/>
        <v>850</v>
      </c>
      <c r="O472">
        <f t="shared" si="29"/>
        <v>600</v>
      </c>
      <c r="P472">
        <f t="shared" si="30"/>
        <v>695717.5</v>
      </c>
      <c r="Q472">
        <f t="shared" si="31"/>
        <v>533927.5</v>
      </c>
    </row>
    <row r="473" spans="1:17">
      <c r="A473" t="s">
        <v>859</v>
      </c>
      <c r="B473" s="1">
        <v>45850</v>
      </c>
      <c r="C473" t="s">
        <v>14</v>
      </c>
      <c r="D473" t="s">
        <v>613</v>
      </c>
      <c r="E473" t="s">
        <v>16</v>
      </c>
      <c r="F473" t="s">
        <v>33</v>
      </c>
      <c r="G473" t="s">
        <v>46</v>
      </c>
      <c r="H473" t="s">
        <v>60</v>
      </c>
      <c r="I473">
        <v>4</v>
      </c>
      <c r="J473">
        <v>2600</v>
      </c>
      <c r="K473">
        <v>0.1</v>
      </c>
      <c r="L473">
        <v>800</v>
      </c>
      <c r="M473" t="s">
        <v>20</v>
      </c>
      <c r="N473">
        <f t="shared" si="28"/>
        <v>9360</v>
      </c>
      <c r="O473">
        <f t="shared" si="29"/>
        <v>6160</v>
      </c>
      <c r="P473">
        <f t="shared" si="30"/>
        <v>694867.5</v>
      </c>
      <c r="Q473">
        <f t="shared" si="31"/>
        <v>533327.5</v>
      </c>
    </row>
    <row r="474" spans="1:17">
      <c r="A474" t="s">
        <v>860</v>
      </c>
      <c r="B474" s="1">
        <v>45769</v>
      </c>
      <c r="C474" t="s">
        <v>320</v>
      </c>
      <c r="D474" t="s">
        <v>15</v>
      </c>
      <c r="E474" t="s">
        <v>118</v>
      </c>
      <c r="F474" t="s">
        <v>25</v>
      </c>
      <c r="G474" t="s">
        <v>26</v>
      </c>
      <c r="H474" t="s">
        <v>448</v>
      </c>
      <c r="I474">
        <v>3</v>
      </c>
      <c r="J474">
        <v>6500</v>
      </c>
      <c r="K474">
        <v>0.05</v>
      </c>
      <c r="L474">
        <v>1600</v>
      </c>
      <c r="M474" t="s">
        <v>20</v>
      </c>
      <c r="N474">
        <f t="shared" si="28"/>
        <v>18525</v>
      </c>
      <c r="O474">
        <f t="shared" si="29"/>
        <v>13725</v>
      </c>
      <c r="P474">
        <f t="shared" si="30"/>
        <v>685507.5</v>
      </c>
      <c r="Q474">
        <f t="shared" si="31"/>
        <v>527167.5</v>
      </c>
    </row>
    <row r="475" spans="1:17">
      <c r="A475" t="s">
        <v>861</v>
      </c>
      <c r="B475" s="1">
        <v>45977</v>
      </c>
      <c r="C475" t="s">
        <v>477</v>
      </c>
      <c r="D475" t="s">
        <v>862</v>
      </c>
      <c r="E475" t="s">
        <v>32</v>
      </c>
      <c r="F475" t="s">
        <v>33</v>
      </c>
      <c r="G475" t="s">
        <v>18</v>
      </c>
      <c r="H475" t="s">
        <v>70</v>
      </c>
      <c r="I475">
        <v>2</v>
      </c>
      <c r="J475">
        <v>2400</v>
      </c>
      <c r="K475">
        <v>0</v>
      </c>
      <c r="L475">
        <v>650</v>
      </c>
      <c r="M475" t="s">
        <v>20</v>
      </c>
      <c r="N475">
        <f t="shared" si="28"/>
        <v>4800</v>
      </c>
      <c r="O475">
        <f t="shared" si="29"/>
        <v>3500</v>
      </c>
      <c r="P475">
        <f t="shared" si="30"/>
        <v>666982.5</v>
      </c>
      <c r="Q475">
        <f t="shared" si="31"/>
        <v>513442.5</v>
      </c>
    </row>
    <row r="476" spans="1:17">
      <c r="A476" t="s">
        <v>863</v>
      </c>
      <c r="B476" s="1">
        <v>45666</v>
      </c>
      <c r="C476" t="s">
        <v>143</v>
      </c>
      <c r="D476" t="s">
        <v>123</v>
      </c>
      <c r="E476" t="s">
        <v>84</v>
      </c>
      <c r="F476" t="s">
        <v>17</v>
      </c>
      <c r="G476" t="s">
        <v>46</v>
      </c>
      <c r="H476" t="s">
        <v>60</v>
      </c>
      <c r="I476">
        <v>3</v>
      </c>
      <c r="J476">
        <v>2600</v>
      </c>
      <c r="K476">
        <v>0</v>
      </c>
      <c r="L476">
        <v>800</v>
      </c>
      <c r="M476" t="s">
        <v>20</v>
      </c>
      <c r="N476">
        <f t="shared" si="28"/>
        <v>7800</v>
      </c>
      <c r="O476">
        <f t="shared" si="29"/>
        <v>5400</v>
      </c>
      <c r="P476">
        <f t="shared" si="30"/>
        <v>662182.5</v>
      </c>
      <c r="Q476">
        <f t="shared" si="31"/>
        <v>509942.5</v>
      </c>
    </row>
    <row r="477" spans="1:17">
      <c r="A477" t="s">
        <v>864</v>
      </c>
      <c r="B477" s="1">
        <v>45953</v>
      </c>
      <c r="C477" t="s">
        <v>342</v>
      </c>
      <c r="D477" t="s">
        <v>550</v>
      </c>
      <c r="E477" t="s">
        <v>45</v>
      </c>
      <c r="F477" t="s">
        <v>25</v>
      </c>
      <c r="G477" t="s">
        <v>46</v>
      </c>
      <c r="H477" t="s">
        <v>47</v>
      </c>
      <c r="I477">
        <v>3</v>
      </c>
      <c r="J477">
        <v>550</v>
      </c>
      <c r="K477">
        <v>0</v>
      </c>
      <c r="L477">
        <v>180</v>
      </c>
      <c r="M477" t="s">
        <v>48</v>
      </c>
      <c r="N477">
        <f t="shared" si="28"/>
        <v>1650</v>
      </c>
      <c r="O477">
        <f t="shared" si="29"/>
        <v>1110</v>
      </c>
      <c r="P477">
        <f t="shared" si="30"/>
        <v>654382.5</v>
      </c>
      <c r="Q477">
        <f t="shared" si="31"/>
        <v>504542.5</v>
      </c>
    </row>
    <row r="478" spans="1:17">
      <c r="A478" t="s">
        <v>865</v>
      </c>
      <c r="B478" s="1">
        <v>45904</v>
      </c>
      <c r="C478" t="s">
        <v>90</v>
      </c>
      <c r="D478" t="s">
        <v>866</v>
      </c>
      <c r="E478" t="s">
        <v>52</v>
      </c>
      <c r="F478" t="s">
        <v>25</v>
      </c>
      <c r="G478" t="s">
        <v>18</v>
      </c>
      <c r="H478" t="s">
        <v>136</v>
      </c>
      <c r="I478">
        <v>3</v>
      </c>
      <c r="J478">
        <v>2800</v>
      </c>
      <c r="K478">
        <v>0.15</v>
      </c>
      <c r="L478">
        <v>750</v>
      </c>
      <c r="M478" t="s">
        <v>48</v>
      </c>
      <c r="N478">
        <f t="shared" si="28"/>
        <v>7140</v>
      </c>
      <c r="O478">
        <f t="shared" si="29"/>
        <v>4890</v>
      </c>
      <c r="P478">
        <f t="shared" si="30"/>
        <v>652732.5</v>
      </c>
      <c r="Q478">
        <f t="shared" si="31"/>
        <v>503432.5</v>
      </c>
    </row>
    <row r="479" spans="1:17">
      <c r="A479" t="s">
        <v>867</v>
      </c>
      <c r="B479" s="1">
        <v>45793</v>
      </c>
      <c r="C479" t="s">
        <v>703</v>
      </c>
      <c r="D479" t="s">
        <v>613</v>
      </c>
      <c r="E479" t="s">
        <v>52</v>
      </c>
      <c r="F479" t="s">
        <v>40</v>
      </c>
      <c r="G479" t="s">
        <v>34</v>
      </c>
      <c r="H479" t="s">
        <v>56</v>
      </c>
      <c r="I479">
        <v>5</v>
      </c>
      <c r="J479">
        <v>1800</v>
      </c>
      <c r="K479">
        <v>0</v>
      </c>
      <c r="L479">
        <v>650</v>
      </c>
      <c r="M479" t="s">
        <v>48</v>
      </c>
      <c r="N479">
        <f t="shared" si="28"/>
        <v>9000</v>
      </c>
      <c r="O479">
        <f t="shared" si="29"/>
        <v>5750</v>
      </c>
      <c r="P479">
        <f t="shared" si="30"/>
        <v>645592.5</v>
      </c>
      <c r="Q479">
        <f t="shared" si="31"/>
        <v>498542.5</v>
      </c>
    </row>
    <row r="480" spans="1:17">
      <c r="A480" t="s">
        <v>868</v>
      </c>
      <c r="B480" s="1">
        <v>45997</v>
      </c>
      <c r="C480" t="s">
        <v>516</v>
      </c>
      <c r="D480" t="s">
        <v>290</v>
      </c>
      <c r="E480" t="s">
        <v>16</v>
      </c>
      <c r="F480" t="s">
        <v>33</v>
      </c>
      <c r="G480" t="s">
        <v>26</v>
      </c>
      <c r="H480" t="s">
        <v>92</v>
      </c>
      <c r="I480">
        <v>4</v>
      </c>
      <c r="J480">
        <v>15000</v>
      </c>
      <c r="K480">
        <v>0.1</v>
      </c>
      <c r="L480">
        <v>3500</v>
      </c>
      <c r="M480" t="s">
        <v>20</v>
      </c>
      <c r="N480">
        <f t="shared" si="28"/>
        <v>54000</v>
      </c>
      <c r="O480">
        <f t="shared" si="29"/>
        <v>40000</v>
      </c>
      <c r="P480">
        <f t="shared" si="30"/>
        <v>636592.5</v>
      </c>
      <c r="Q480">
        <f t="shared" si="31"/>
        <v>492792.5</v>
      </c>
    </row>
    <row r="481" spans="1:17">
      <c r="A481" t="s">
        <v>869</v>
      </c>
      <c r="B481" s="1">
        <v>45729</v>
      </c>
      <c r="C481" t="s">
        <v>263</v>
      </c>
      <c r="D481" t="s">
        <v>491</v>
      </c>
      <c r="E481" t="s">
        <v>32</v>
      </c>
      <c r="F481" t="s">
        <v>25</v>
      </c>
      <c r="G481" t="s">
        <v>18</v>
      </c>
      <c r="H481" t="s">
        <v>136</v>
      </c>
      <c r="I481">
        <v>2</v>
      </c>
      <c r="J481">
        <v>2800</v>
      </c>
      <c r="K481">
        <v>0.05</v>
      </c>
      <c r="L481">
        <v>750</v>
      </c>
      <c r="M481" t="s">
        <v>20</v>
      </c>
      <c r="N481">
        <f t="shared" si="28"/>
        <v>5320</v>
      </c>
      <c r="O481">
        <f t="shared" si="29"/>
        <v>3820</v>
      </c>
      <c r="P481">
        <f t="shared" si="30"/>
        <v>582592.5</v>
      </c>
      <c r="Q481">
        <f t="shared" si="31"/>
        <v>452792.5</v>
      </c>
    </row>
    <row r="482" spans="1:17">
      <c r="A482" t="s">
        <v>870</v>
      </c>
      <c r="B482" s="1">
        <v>45672</v>
      </c>
      <c r="C482" t="s">
        <v>207</v>
      </c>
      <c r="D482" t="s">
        <v>560</v>
      </c>
      <c r="E482" t="s">
        <v>52</v>
      </c>
      <c r="F482" t="s">
        <v>40</v>
      </c>
      <c r="G482" t="s">
        <v>26</v>
      </c>
      <c r="H482" t="s">
        <v>448</v>
      </c>
      <c r="I482">
        <v>3</v>
      </c>
      <c r="J482">
        <v>6500</v>
      </c>
      <c r="K482">
        <v>0</v>
      </c>
      <c r="L482">
        <v>1600</v>
      </c>
      <c r="M482" t="s">
        <v>28</v>
      </c>
      <c r="N482">
        <f t="shared" si="28"/>
        <v>19500</v>
      </c>
      <c r="O482">
        <f t="shared" si="29"/>
        <v>14700</v>
      </c>
      <c r="P482">
        <f t="shared" si="30"/>
        <v>577272.5</v>
      </c>
      <c r="Q482">
        <f t="shared" si="31"/>
        <v>448972.5</v>
      </c>
    </row>
    <row r="483" spans="1:17">
      <c r="A483" t="s">
        <v>871</v>
      </c>
      <c r="B483" s="1">
        <v>45975</v>
      </c>
      <c r="C483" t="s">
        <v>225</v>
      </c>
      <c r="D483" t="s">
        <v>243</v>
      </c>
      <c r="E483" t="s">
        <v>45</v>
      </c>
      <c r="F483" t="s">
        <v>33</v>
      </c>
      <c r="G483" t="s">
        <v>26</v>
      </c>
      <c r="H483" t="s">
        <v>27</v>
      </c>
      <c r="I483">
        <v>5</v>
      </c>
      <c r="J483">
        <v>22000</v>
      </c>
      <c r="K483">
        <v>0.1</v>
      </c>
      <c r="L483">
        <v>5000</v>
      </c>
      <c r="M483" t="s">
        <v>28</v>
      </c>
      <c r="N483">
        <f t="shared" si="28"/>
        <v>99000</v>
      </c>
      <c r="O483">
        <f t="shared" si="29"/>
        <v>74000</v>
      </c>
      <c r="P483">
        <f t="shared" si="30"/>
        <v>557772.5</v>
      </c>
      <c r="Q483">
        <f t="shared" si="31"/>
        <v>434272.5</v>
      </c>
    </row>
    <row r="484" spans="1:17">
      <c r="A484" t="s">
        <v>872</v>
      </c>
      <c r="B484" s="1">
        <v>45987</v>
      </c>
      <c r="C484" t="s">
        <v>624</v>
      </c>
      <c r="D484" t="s">
        <v>292</v>
      </c>
      <c r="E484" t="s">
        <v>45</v>
      </c>
      <c r="F484" t="s">
        <v>40</v>
      </c>
      <c r="G484" t="s">
        <v>18</v>
      </c>
      <c r="H484" t="s">
        <v>70</v>
      </c>
      <c r="I484">
        <v>4</v>
      </c>
      <c r="J484">
        <v>2400</v>
      </c>
      <c r="K484">
        <v>0.05</v>
      </c>
      <c r="L484">
        <v>650</v>
      </c>
      <c r="M484" t="s">
        <v>48</v>
      </c>
      <c r="N484">
        <f t="shared" si="28"/>
        <v>9120</v>
      </c>
      <c r="O484">
        <f t="shared" si="29"/>
        <v>6520</v>
      </c>
      <c r="P484">
        <f t="shared" si="30"/>
        <v>458772.5</v>
      </c>
      <c r="Q484">
        <f t="shared" si="31"/>
        <v>360272.5</v>
      </c>
    </row>
    <row r="485" spans="1:17">
      <c r="A485" t="s">
        <v>873</v>
      </c>
      <c r="B485" s="1">
        <v>45882</v>
      </c>
      <c r="C485" t="s">
        <v>342</v>
      </c>
      <c r="D485" t="s">
        <v>310</v>
      </c>
      <c r="E485" t="s">
        <v>24</v>
      </c>
      <c r="F485" t="s">
        <v>33</v>
      </c>
      <c r="G485" t="s">
        <v>18</v>
      </c>
      <c r="H485" t="s">
        <v>85</v>
      </c>
      <c r="I485">
        <v>4</v>
      </c>
      <c r="J485">
        <v>350</v>
      </c>
      <c r="K485">
        <v>0</v>
      </c>
      <c r="L485">
        <v>100</v>
      </c>
      <c r="M485" t="s">
        <v>28</v>
      </c>
      <c r="N485">
        <f t="shared" si="28"/>
        <v>1400</v>
      </c>
      <c r="O485">
        <f t="shared" si="29"/>
        <v>1000</v>
      </c>
      <c r="P485">
        <f t="shared" si="30"/>
        <v>449652.5</v>
      </c>
      <c r="Q485">
        <f t="shared" si="31"/>
        <v>353752.5</v>
      </c>
    </row>
    <row r="486" spans="1:17">
      <c r="A486" t="s">
        <v>874</v>
      </c>
      <c r="B486" s="1">
        <v>45856</v>
      </c>
      <c r="C486" t="s">
        <v>715</v>
      </c>
      <c r="D486" t="s">
        <v>310</v>
      </c>
      <c r="E486" t="s">
        <v>39</v>
      </c>
      <c r="F486" t="s">
        <v>40</v>
      </c>
      <c r="G486" t="s">
        <v>34</v>
      </c>
      <c r="H486" t="s">
        <v>41</v>
      </c>
      <c r="I486">
        <v>3</v>
      </c>
      <c r="J486">
        <v>52000</v>
      </c>
      <c r="K486">
        <v>0</v>
      </c>
      <c r="L486">
        <v>9000</v>
      </c>
      <c r="M486" t="s">
        <v>48</v>
      </c>
      <c r="N486">
        <f t="shared" si="28"/>
        <v>156000</v>
      </c>
      <c r="O486">
        <f t="shared" si="29"/>
        <v>129000</v>
      </c>
      <c r="P486">
        <f t="shared" si="30"/>
        <v>448252.5</v>
      </c>
      <c r="Q486">
        <f t="shared" si="31"/>
        <v>352752.5</v>
      </c>
    </row>
    <row r="487" spans="1:17">
      <c r="A487" t="s">
        <v>875</v>
      </c>
      <c r="B487" s="1">
        <v>45990</v>
      </c>
      <c r="C487" t="s">
        <v>486</v>
      </c>
      <c r="D487" t="s">
        <v>579</v>
      </c>
      <c r="E487" t="s">
        <v>52</v>
      </c>
      <c r="F487" t="s">
        <v>33</v>
      </c>
      <c r="G487" t="s">
        <v>18</v>
      </c>
      <c r="H487" t="s">
        <v>70</v>
      </c>
      <c r="I487">
        <v>4</v>
      </c>
      <c r="J487">
        <v>2400</v>
      </c>
      <c r="K487">
        <v>0.05</v>
      </c>
      <c r="L487">
        <v>650</v>
      </c>
      <c r="M487" t="s">
        <v>20</v>
      </c>
      <c r="N487">
        <f t="shared" si="28"/>
        <v>9120</v>
      </c>
      <c r="O487">
        <f t="shared" si="29"/>
        <v>6520</v>
      </c>
      <c r="P487">
        <f t="shared" si="30"/>
        <v>292252.5</v>
      </c>
      <c r="Q487">
        <f t="shared" si="31"/>
        <v>223752.5</v>
      </c>
    </row>
    <row r="488" spans="1:17">
      <c r="A488" t="s">
        <v>876</v>
      </c>
      <c r="B488" s="1">
        <v>45728</v>
      </c>
      <c r="C488" t="s">
        <v>405</v>
      </c>
      <c r="D488" t="s">
        <v>376</v>
      </c>
      <c r="E488" t="s">
        <v>118</v>
      </c>
      <c r="F488" t="s">
        <v>33</v>
      </c>
      <c r="G488" t="s">
        <v>26</v>
      </c>
      <c r="H488" t="s">
        <v>448</v>
      </c>
      <c r="I488">
        <v>3</v>
      </c>
      <c r="J488">
        <v>6500</v>
      </c>
      <c r="K488">
        <v>0.05</v>
      </c>
      <c r="L488">
        <v>1600</v>
      </c>
      <c r="M488" t="s">
        <v>28</v>
      </c>
      <c r="N488">
        <f t="shared" si="28"/>
        <v>18525</v>
      </c>
      <c r="O488">
        <f t="shared" si="29"/>
        <v>13725</v>
      </c>
      <c r="P488">
        <f t="shared" si="30"/>
        <v>283132.5</v>
      </c>
      <c r="Q488">
        <f t="shared" si="31"/>
        <v>217232.5</v>
      </c>
    </row>
    <row r="489" spans="1:17">
      <c r="A489" t="s">
        <v>877</v>
      </c>
      <c r="B489" s="1">
        <v>45944</v>
      </c>
      <c r="C489" t="s">
        <v>533</v>
      </c>
      <c r="D489" t="s">
        <v>506</v>
      </c>
      <c r="E489" t="s">
        <v>24</v>
      </c>
      <c r="F489" t="s">
        <v>25</v>
      </c>
      <c r="G489" t="s">
        <v>18</v>
      </c>
      <c r="H489" t="s">
        <v>70</v>
      </c>
      <c r="I489">
        <v>4</v>
      </c>
      <c r="J489">
        <v>2400</v>
      </c>
      <c r="K489">
        <v>0.15</v>
      </c>
      <c r="L489">
        <v>650</v>
      </c>
      <c r="M489" t="s">
        <v>28</v>
      </c>
      <c r="N489">
        <f t="shared" si="28"/>
        <v>8160</v>
      </c>
      <c r="O489">
        <f t="shared" si="29"/>
        <v>5560</v>
      </c>
      <c r="P489">
        <f t="shared" si="30"/>
        <v>264607.5</v>
      </c>
      <c r="Q489">
        <f t="shared" si="31"/>
        <v>203507.5</v>
      </c>
    </row>
    <row r="490" spans="1:17">
      <c r="A490" t="s">
        <v>878</v>
      </c>
      <c r="B490" s="1">
        <v>45792</v>
      </c>
      <c r="C490" t="s">
        <v>587</v>
      </c>
      <c r="D490" t="s">
        <v>95</v>
      </c>
      <c r="E490" t="s">
        <v>118</v>
      </c>
      <c r="F490" t="s">
        <v>17</v>
      </c>
      <c r="G490" t="s">
        <v>34</v>
      </c>
      <c r="H490" t="s">
        <v>106</v>
      </c>
      <c r="I490">
        <v>3</v>
      </c>
      <c r="J490">
        <v>650</v>
      </c>
      <c r="K490">
        <v>0.1</v>
      </c>
      <c r="L490">
        <v>200</v>
      </c>
      <c r="M490" t="s">
        <v>48</v>
      </c>
      <c r="N490">
        <f t="shared" si="28"/>
        <v>1755</v>
      </c>
      <c r="O490">
        <f t="shared" si="29"/>
        <v>1155</v>
      </c>
      <c r="P490">
        <f t="shared" si="30"/>
        <v>256447.5</v>
      </c>
      <c r="Q490">
        <f t="shared" si="31"/>
        <v>197947.5</v>
      </c>
    </row>
    <row r="491" spans="1:17">
      <c r="A491" t="s">
        <v>879</v>
      </c>
      <c r="B491" s="1">
        <v>45745</v>
      </c>
      <c r="C491" t="s">
        <v>652</v>
      </c>
      <c r="D491" t="s">
        <v>603</v>
      </c>
      <c r="E491" t="s">
        <v>32</v>
      </c>
      <c r="F491" t="s">
        <v>17</v>
      </c>
      <c r="G491" t="s">
        <v>46</v>
      </c>
      <c r="H491" t="s">
        <v>340</v>
      </c>
      <c r="I491">
        <v>2</v>
      </c>
      <c r="J491">
        <v>1400</v>
      </c>
      <c r="K491">
        <v>0.05</v>
      </c>
      <c r="L491">
        <v>450</v>
      </c>
      <c r="M491" t="s">
        <v>20</v>
      </c>
      <c r="N491">
        <f t="shared" si="28"/>
        <v>2660</v>
      </c>
      <c r="O491">
        <f t="shared" si="29"/>
        <v>1760</v>
      </c>
      <c r="P491">
        <f t="shared" si="30"/>
        <v>254692.5</v>
      </c>
      <c r="Q491">
        <f t="shared" si="31"/>
        <v>196792.5</v>
      </c>
    </row>
    <row r="492" spans="1:17">
      <c r="A492" t="s">
        <v>880</v>
      </c>
      <c r="B492" s="1">
        <v>45724</v>
      </c>
      <c r="C492" t="s">
        <v>510</v>
      </c>
      <c r="D492" t="s">
        <v>91</v>
      </c>
      <c r="E492" t="s">
        <v>32</v>
      </c>
      <c r="F492" t="s">
        <v>33</v>
      </c>
      <c r="G492" t="s">
        <v>18</v>
      </c>
      <c r="H492" t="s">
        <v>136</v>
      </c>
      <c r="I492">
        <v>3</v>
      </c>
      <c r="J492">
        <v>2800</v>
      </c>
      <c r="K492">
        <v>0</v>
      </c>
      <c r="L492">
        <v>750</v>
      </c>
      <c r="M492" t="s">
        <v>28</v>
      </c>
      <c r="N492">
        <f t="shared" si="28"/>
        <v>8400</v>
      </c>
      <c r="O492">
        <f t="shared" si="29"/>
        <v>6150</v>
      </c>
      <c r="P492">
        <f t="shared" si="30"/>
        <v>252032.5</v>
      </c>
      <c r="Q492">
        <f t="shared" si="31"/>
        <v>195032.5</v>
      </c>
    </row>
    <row r="493" spans="1:17">
      <c r="A493" t="s">
        <v>881</v>
      </c>
      <c r="B493" s="1">
        <v>45704</v>
      </c>
      <c r="C493" t="s">
        <v>436</v>
      </c>
      <c r="D493" t="s">
        <v>73</v>
      </c>
      <c r="E493" t="s">
        <v>118</v>
      </c>
      <c r="F493" t="s">
        <v>40</v>
      </c>
      <c r="G493" t="s">
        <v>26</v>
      </c>
      <c r="H493" t="s">
        <v>153</v>
      </c>
      <c r="I493">
        <v>2</v>
      </c>
      <c r="J493">
        <v>4200</v>
      </c>
      <c r="K493">
        <v>0</v>
      </c>
      <c r="L493">
        <v>1000</v>
      </c>
      <c r="M493" t="s">
        <v>28</v>
      </c>
      <c r="N493">
        <f t="shared" si="28"/>
        <v>8400</v>
      </c>
      <c r="O493">
        <f t="shared" si="29"/>
        <v>6400</v>
      </c>
      <c r="P493">
        <f t="shared" si="30"/>
        <v>243632.5</v>
      </c>
      <c r="Q493">
        <f t="shared" si="31"/>
        <v>188882.5</v>
      </c>
    </row>
    <row r="494" spans="1:17">
      <c r="A494" t="s">
        <v>882</v>
      </c>
      <c r="B494" s="1">
        <v>45928</v>
      </c>
      <c r="C494" t="s">
        <v>14</v>
      </c>
      <c r="D494" t="s">
        <v>301</v>
      </c>
      <c r="E494" t="s">
        <v>32</v>
      </c>
      <c r="F494" t="s">
        <v>17</v>
      </c>
      <c r="G494" t="s">
        <v>26</v>
      </c>
      <c r="H494" t="s">
        <v>27</v>
      </c>
      <c r="I494">
        <v>1</v>
      </c>
      <c r="J494">
        <v>22000</v>
      </c>
      <c r="K494">
        <v>0</v>
      </c>
      <c r="L494">
        <v>5000</v>
      </c>
      <c r="M494" t="s">
        <v>48</v>
      </c>
      <c r="N494">
        <f t="shared" si="28"/>
        <v>22000</v>
      </c>
      <c r="O494">
        <f t="shared" si="29"/>
        <v>17000</v>
      </c>
      <c r="P494">
        <f t="shared" si="30"/>
        <v>235232.5</v>
      </c>
      <c r="Q494">
        <f t="shared" si="31"/>
        <v>182482.5</v>
      </c>
    </row>
    <row r="495" spans="1:17">
      <c r="A495" t="s">
        <v>883</v>
      </c>
      <c r="B495" s="1">
        <v>45860</v>
      </c>
      <c r="C495" t="s">
        <v>458</v>
      </c>
      <c r="D495" t="s">
        <v>395</v>
      </c>
      <c r="E495" t="s">
        <v>16</v>
      </c>
      <c r="F495" t="s">
        <v>33</v>
      </c>
      <c r="G495" t="s">
        <v>18</v>
      </c>
      <c r="H495" t="s">
        <v>85</v>
      </c>
      <c r="I495">
        <v>3</v>
      </c>
      <c r="J495">
        <v>350</v>
      </c>
      <c r="K495">
        <v>0.15</v>
      </c>
      <c r="L495">
        <v>100</v>
      </c>
      <c r="M495" t="s">
        <v>48</v>
      </c>
      <c r="N495">
        <f t="shared" si="28"/>
        <v>892.5</v>
      </c>
      <c r="O495">
        <f t="shared" si="29"/>
        <v>592.5</v>
      </c>
      <c r="P495">
        <f t="shared" si="30"/>
        <v>213232.5</v>
      </c>
      <c r="Q495">
        <f t="shared" si="31"/>
        <v>165482.5</v>
      </c>
    </row>
    <row r="496" spans="1:17">
      <c r="A496" t="s">
        <v>884</v>
      </c>
      <c r="B496" s="1">
        <v>45836</v>
      </c>
      <c r="C496" t="s">
        <v>195</v>
      </c>
      <c r="D496" t="s">
        <v>657</v>
      </c>
      <c r="E496" t="s">
        <v>84</v>
      </c>
      <c r="F496" t="s">
        <v>33</v>
      </c>
      <c r="G496" t="s">
        <v>18</v>
      </c>
      <c r="H496" t="s">
        <v>70</v>
      </c>
      <c r="I496">
        <v>1</v>
      </c>
      <c r="J496">
        <v>2400</v>
      </c>
      <c r="K496">
        <v>0.15</v>
      </c>
      <c r="L496">
        <v>650</v>
      </c>
      <c r="M496" t="s">
        <v>20</v>
      </c>
      <c r="N496">
        <f t="shared" si="28"/>
        <v>2040</v>
      </c>
      <c r="O496">
        <f t="shared" si="29"/>
        <v>1390</v>
      </c>
      <c r="P496">
        <f t="shared" si="30"/>
        <v>212340</v>
      </c>
      <c r="Q496">
        <f t="shared" si="31"/>
        <v>164890</v>
      </c>
    </row>
    <row r="497" spans="1:17">
      <c r="A497" t="s">
        <v>885</v>
      </c>
      <c r="B497" s="1">
        <v>45826</v>
      </c>
      <c r="C497" t="s">
        <v>266</v>
      </c>
      <c r="D497" t="s">
        <v>69</v>
      </c>
      <c r="E497" t="s">
        <v>52</v>
      </c>
      <c r="F497" t="s">
        <v>40</v>
      </c>
      <c r="G497" t="s">
        <v>26</v>
      </c>
      <c r="H497" t="s">
        <v>448</v>
      </c>
      <c r="I497">
        <v>3</v>
      </c>
      <c r="J497">
        <v>6500</v>
      </c>
      <c r="K497">
        <v>0</v>
      </c>
      <c r="L497">
        <v>1600</v>
      </c>
      <c r="M497" t="s">
        <v>28</v>
      </c>
      <c r="N497">
        <f t="shared" si="28"/>
        <v>19500</v>
      </c>
      <c r="O497">
        <f t="shared" si="29"/>
        <v>14700</v>
      </c>
      <c r="P497">
        <f t="shared" si="30"/>
        <v>210300</v>
      </c>
      <c r="Q497">
        <f t="shared" si="31"/>
        <v>163500</v>
      </c>
    </row>
    <row r="498" spans="1:17">
      <c r="A498" t="s">
        <v>886</v>
      </c>
      <c r="B498" s="1">
        <v>45662</v>
      </c>
      <c r="C498" t="s">
        <v>461</v>
      </c>
      <c r="D498" t="s">
        <v>141</v>
      </c>
      <c r="E498" t="s">
        <v>52</v>
      </c>
      <c r="F498" t="s">
        <v>33</v>
      </c>
      <c r="G498" t="s">
        <v>26</v>
      </c>
      <c r="H498" t="s">
        <v>448</v>
      </c>
      <c r="I498">
        <v>5</v>
      </c>
      <c r="J498">
        <v>6500</v>
      </c>
      <c r="K498">
        <v>0</v>
      </c>
      <c r="L498">
        <v>1600</v>
      </c>
      <c r="M498" t="s">
        <v>48</v>
      </c>
      <c r="N498">
        <f t="shared" si="28"/>
        <v>32500</v>
      </c>
      <c r="O498">
        <f t="shared" si="29"/>
        <v>24500</v>
      </c>
      <c r="P498">
        <f t="shared" si="30"/>
        <v>190800</v>
      </c>
      <c r="Q498">
        <f t="shared" si="31"/>
        <v>148800</v>
      </c>
    </row>
    <row r="499" spans="1:17">
      <c r="A499" t="s">
        <v>887</v>
      </c>
      <c r="B499" s="1">
        <v>45875</v>
      </c>
      <c r="C499" t="s">
        <v>418</v>
      </c>
      <c r="D499" t="s">
        <v>38</v>
      </c>
      <c r="E499" t="s">
        <v>84</v>
      </c>
      <c r="F499" t="s">
        <v>40</v>
      </c>
      <c r="G499" t="s">
        <v>26</v>
      </c>
      <c r="H499" t="s">
        <v>27</v>
      </c>
      <c r="I499">
        <v>1</v>
      </c>
      <c r="J499">
        <v>22000</v>
      </c>
      <c r="K499">
        <v>0.05</v>
      </c>
      <c r="L499">
        <v>5000</v>
      </c>
      <c r="M499" t="s">
        <v>28</v>
      </c>
      <c r="N499">
        <f t="shared" si="28"/>
        <v>20900</v>
      </c>
      <c r="O499">
        <f t="shared" si="29"/>
        <v>15900</v>
      </c>
      <c r="P499">
        <f t="shared" si="30"/>
        <v>158300</v>
      </c>
      <c r="Q499">
        <f t="shared" si="31"/>
        <v>124300</v>
      </c>
    </row>
    <row r="500" spans="1:17">
      <c r="A500" t="s">
        <v>888</v>
      </c>
      <c r="B500" s="1">
        <v>45897</v>
      </c>
      <c r="C500" t="s">
        <v>750</v>
      </c>
      <c r="D500" t="s">
        <v>506</v>
      </c>
      <c r="E500" t="s">
        <v>84</v>
      </c>
      <c r="F500" t="s">
        <v>33</v>
      </c>
      <c r="G500" t="s">
        <v>26</v>
      </c>
      <c r="H500" t="s">
        <v>27</v>
      </c>
      <c r="I500">
        <v>4</v>
      </c>
      <c r="J500">
        <v>22000</v>
      </c>
      <c r="K500">
        <v>0</v>
      </c>
      <c r="L500">
        <v>5000</v>
      </c>
      <c r="M500" t="s">
        <v>28</v>
      </c>
      <c r="N500">
        <f t="shared" si="28"/>
        <v>88000</v>
      </c>
      <c r="O500">
        <f t="shared" si="29"/>
        <v>68000</v>
      </c>
      <c r="P500">
        <f t="shared" si="30"/>
        <v>137400</v>
      </c>
      <c r="Q500">
        <f t="shared" si="31"/>
        <v>108400</v>
      </c>
    </row>
    <row r="501" spans="1:17">
      <c r="A501" t="s">
        <v>889</v>
      </c>
      <c r="B501" s="1">
        <v>45877</v>
      </c>
      <c r="C501" t="s">
        <v>189</v>
      </c>
      <c r="D501" t="s">
        <v>63</v>
      </c>
      <c r="E501" t="s">
        <v>39</v>
      </c>
      <c r="F501" t="s">
        <v>33</v>
      </c>
      <c r="G501" t="s">
        <v>34</v>
      </c>
      <c r="H501" t="s">
        <v>41</v>
      </c>
      <c r="I501">
        <v>1</v>
      </c>
      <c r="J501">
        <v>52000</v>
      </c>
      <c r="K501">
        <v>0.05</v>
      </c>
      <c r="L501">
        <v>9000</v>
      </c>
      <c r="M501" t="s">
        <v>48</v>
      </c>
      <c r="N501">
        <f t="shared" si="28"/>
        <v>49400</v>
      </c>
      <c r="O501">
        <f t="shared" si="29"/>
        <v>40400</v>
      </c>
      <c r="P501">
        <f t="shared" si="30"/>
        <v>49400</v>
      </c>
      <c r="Q501">
        <f t="shared" si="31"/>
        <v>40400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0A6B0-F5A1-4F10-A271-126B568BAFDA}">
  <dimension ref="A1:B6"/>
  <sheetViews>
    <sheetView workbookViewId="0">
      <selection activeCell="D4" sqref="D4"/>
    </sheetView>
  </sheetViews>
  <sheetFormatPr defaultRowHeight="15"/>
  <cols>
    <col min="1" max="1" width="15" customWidth="1"/>
    <col min="2" max="2" width="13.85546875" style="5" customWidth="1"/>
  </cols>
  <sheetData>
    <row r="1" spans="1:2">
      <c r="A1" s="2" t="s">
        <v>894</v>
      </c>
      <c r="B1" s="3" t="s">
        <v>895</v>
      </c>
    </row>
    <row r="2" spans="1:2">
      <c r="A2" t="s">
        <v>896</v>
      </c>
      <c r="B2" s="4">
        <f>SUM(sales_data!N2:N501)</f>
        <v>9800307.5</v>
      </c>
    </row>
    <row r="3" spans="1:2">
      <c r="A3" t="s">
        <v>897</v>
      </c>
      <c r="B3" s="5">
        <f>SUM(sales_data!O2:O501)</f>
        <v>7532097.5</v>
      </c>
    </row>
    <row r="4" spans="1:2">
      <c r="A4" t="s">
        <v>898</v>
      </c>
      <c r="B4" s="5">
        <f>COUNTA(sales_data!A2:A501)</f>
        <v>500</v>
      </c>
    </row>
    <row r="5" spans="1:2">
      <c r="A5" t="s">
        <v>899</v>
      </c>
      <c r="B5" s="5">
        <f>SUM(sales_data!I2:I501)</f>
        <v>1467</v>
      </c>
    </row>
    <row r="6" spans="1:2">
      <c r="A6" t="s">
        <v>900</v>
      </c>
      <c r="B6" s="5">
        <f>AVERAGE(sales_data!N2:N501)</f>
        <v>19600.615000000002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1E248-6AA6-489B-A96A-3B6F768BA9E6}">
  <dimension ref="A3:I17"/>
  <sheetViews>
    <sheetView workbookViewId="0">
      <selection activeCell="K8" sqref="K8"/>
    </sheetView>
  </sheetViews>
  <sheetFormatPr defaultRowHeight="15"/>
  <cols>
    <col min="1" max="1" width="13.42578125" bestFit="1" customWidth="1"/>
    <col min="2" max="2" width="12.5703125" bestFit="1" customWidth="1"/>
    <col min="5" max="5" width="15" bestFit="1" customWidth="1"/>
    <col min="6" max="6" width="12.5703125" bestFit="1" customWidth="1"/>
    <col min="8" max="8" width="13.42578125" bestFit="1" customWidth="1"/>
    <col min="9" max="9" width="12.5703125" bestFit="1" customWidth="1"/>
    <col min="10" max="10" width="13.42578125" bestFit="1" customWidth="1"/>
    <col min="11" max="11" width="12.5703125" bestFit="1" customWidth="1"/>
  </cols>
  <sheetData>
    <row r="3" spans="1:9">
      <c r="A3" s="6" t="s">
        <v>901</v>
      </c>
      <c r="B3" t="s">
        <v>903</v>
      </c>
      <c r="E3" s="6" t="s">
        <v>901</v>
      </c>
      <c r="F3" t="s">
        <v>903</v>
      </c>
      <c r="H3" s="6" t="s">
        <v>901</v>
      </c>
      <c r="I3" t="s">
        <v>903</v>
      </c>
    </row>
    <row r="4" spans="1:9">
      <c r="A4" s="5" t="s">
        <v>33</v>
      </c>
      <c r="B4" s="7">
        <v>2877502.5</v>
      </c>
      <c r="E4" s="5" t="s">
        <v>46</v>
      </c>
      <c r="F4" s="7">
        <v>638685</v>
      </c>
      <c r="H4" s="5" t="s">
        <v>916</v>
      </c>
      <c r="I4" s="7">
        <v>9800307.5</v>
      </c>
    </row>
    <row r="5" spans="1:9">
      <c r="A5" s="5" t="s">
        <v>17</v>
      </c>
      <c r="B5" s="7">
        <v>2120027.5</v>
      </c>
      <c r="E5" s="5" t="s">
        <v>34</v>
      </c>
      <c r="F5" s="7">
        <v>4477230</v>
      </c>
      <c r="H5" s="8" t="s">
        <v>904</v>
      </c>
      <c r="I5" s="7">
        <v>710787.5</v>
      </c>
    </row>
    <row r="6" spans="1:9">
      <c r="A6" s="5" t="s">
        <v>25</v>
      </c>
      <c r="B6" s="7">
        <v>1845167.5</v>
      </c>
      <c r="E6" s="5" t="s">
        <v>26</v>
      </c>
      <c r="F6" s="7">
        <v>4173200</v>
      </c>
      <c r="H6" s="8" t="s">
        <v>905</v>
      </c>
      <c r="I6" s="7">
        <v>689825</v>
      </c>
    </row>
    <row r="7" spans="1:9">
      <c r="A7" s="5" t="s">
        <v>40</v>
      </c>
      <c r="B7" s="7">
        <v>2957610</v>
      </c>
      <c r="E7" s="5" t="s">
        <v>18</v>
      </c>
      <c r="F7" s="7">
        <v>511192.5</v>
      </c>
      <c r="H7" s="8" t="s">
        <v>906</v>
      </c>
      <c r="I7" s="7">
        <v>1018080</v>
      </c>
    </row>
    <row r="8" spans="1:9">
      <c r="A8" s="5" t="s">
        <v>902</v>
      </c>
      <c r="B8" s="7">
        <v>9800307.5</v>
      </c>
      <c r="E8" s="5" t="s">
        <v>902</v>
      </c>
      <c r="F8" s="7">
        <v>9800307.5</v>
      </c>
      <c r="H8" s="8" t="s">
        <v>907</v>
      </c>
      <c r="I8" s="7">
        <v>638047.5</v>
      </c>
    </row>
    <row r="9" spans="1:9">
      <c r="H9" s="8" t="s">
        <v>908</v>
      </c>
      <c r="I9" s="7">
        <v>650345</v>
      </c>
    </row>
    <row r="10" spans="1:9">
      <c r="H10" s="8" t="s">
        <v>909</v>
      </c>
      <c r="I10" s="7">
        <v>554745</v>
      </c>
    </row>
    <row r="11" spans="1:9">
      <c r="H11" s="8" t="s">
        <v>910</v>
      </c>
      <c r="I11" s="7">
        <v>1317427.5</v>
      </c>
    </row>
    <row r="12" spans="1:9">
      <c r="H12" s="8" t="s">
        <v>911</v>
      </c>
      <c r="I12" s="7">
        <v>695315</v>
      </c>
    </row>
    <row r="13" spans="1:9">
      <c r="H13" s="8" t="s">
        <v>912</v>
      </c>
      <c r="I13" s="7">
        <v>678215</v>
      </c>
    </row>
    <row r="14" spans="1:9">
      <c r="H14" s="8" t="s">
        <v>913</v>
      </c>
      <c r="I14" s="7">
        <v>928157.5</v>
      </c>
    </row>
    <row r="15" spans="1:9">
      <c r="H15" s="8" t="s">
        <v>914</v>
      </c>
      <c r="I15" s="7">
        <v>606377.5</v>
      </c>
    </row>
    <row r="16" spans="1:9">
      <c r="H16" s="8" t="s">
        <v>915</v>
      </c>
      <c r="I16" s="7">
        <v>1312985</v>
      </c>
    </row>
    <row r="17" spans="8:9">
      <c r="H17" s="5" t="s">
        <v>902</v>
      </c>
      <c r="I17" s="7">
        <v>9800307.5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4129C-0FC5-476B-A3B1-C5E8CEC7989A}">
  <dimension ref="A1"/>
  <sheetViews>
    <sheetView zoomScale="72" workbookViewId="0">
      <selection activeCell="L21" sqref="L21"/>
    </sheetView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466B3-C1F7-45CF-8EFD-CF689B3030E2}">
  <dimension ref="A1:K32"/>
  <sheetViews>
    <sheetView zoomScale="81" workbookViewId="0">
      <selection sqref="A1:K32"/>
    </sheetView>
  </sheetViews>
  <sheetFormatPr defaultRowHeight="15"/>
  <cols>
    <col min="1" max="1" width="10.5703125" bestFit="1" customWidth="1"/>
    <col min="3" max="3" width="10.5703125" bestFit="1" customWidth="1"/>
    <col min="5" max="5" width="11.85546875" bestFit="1" customWidth="1"/>
    <col min="6" max="6" width="8.85546875" customWidth="1"/>
    <col min="7" max="7" width="13.42578125" bestFit="1" customWidth="1"/>
    <col min="9" max="9" width="13.140625" bestFit="1" customWidth="1"/>
    <col min="10" max="10" width="0.140625" customWidth="1"/>
  </cols>
  <sheetData>
    <row r="1" spans="1:11" ht="26.25">
      <c r="A1" s="9" t="s">
        <v>917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>
      <c r="A3" s="16" t="s">
        <v>896</v>
      </c>
      <c r="B3" s="11"/>
      <c r="C3" s="17" t="s">
        <v>897</v>
      </c>
      <c r="D3" s="12"/>
      <c r="E3" s="18" t="s">
        <v>898</v>
      </c>
      <c r="F3" s="13"/>
      <c r="G3" s="19" t="s">
        <v>899</v>
      </c>
      <c r="H3" s="14"/>
      <c r="I3" s="20" t="s">
        <v>900</v>
      </c>
      <c r="J3" s="15"/>
      <c r="K3" s="15"/>
    </row>
    <row r="4" spans="1:11">
      <c r="A4" s="11">
        <f>KPI_Summary!B2</f>
        <v>9800307.5</v>
      </c>
      <c r="B4" s="11"/>
      <c r="C4" s="12">
        <f>KPI_Summary!B3</f>
        <v>7532097.5</v>
      </c>
      <c r="D4" s="12"/>
      <c r="E4" s="13">
        <f>KPI_Summary!B4</f>
        <v>500</v>
      </c>
      <c r="F4" s="13"/>
      <c r="G4" s="14">
        <f>KPI_Summary!B5</f>
        <v>1467</v>
      </c>
      <c r="H4" s="14"/>
      <c r="I4" s="15">
        <f>KPI_Summary!B6</f>
        <v>19600.615000000002</v>
      </c>
      <c r="J4" s="15"/>
      <c r="K4" s="15"/>
    </row>
    <row r="5" spans="1:1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</row>
    <row r="28" spans="1:1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spans="1:1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</row>
    <row r="30" spans="1:1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 spans="1:1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</row>
    <row r="32" spans="1:1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</row>
  </sheetData>
  <mergeCells count="1">
    <mergeCell ref="A1:J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6D3E6B-4398-4B37-B5EB-F3210BF731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sales_data</vt:lpstr>
      <vt:lpstr>KPI_Summary</vt:lpstr>
      <vt:lpstr>pivot tables</vt:lpstr>
      <vt:lpstr>Charts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bairapunenihemalatha@gmail.com</dc:creator>
  <cp:lastModifiedBy>bairapunenihemalatha@gmail.com</cp:lastModifiedBy>
  <dcterms:created xsi:type="dcterms:W3CDTF">2026-10-30T04:16:55Z</dcterms:created>
  <dcterms:modified xsi:type="dcterms:W3CDTF">2026-10-31T05:07:43Z</dcterms:modified>
</cp:coreProperties>
</file>